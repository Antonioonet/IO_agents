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codeName="ThisWorkbook" defaultThemeVersion="166925"/>
  <mc:AlternateContent xmlns:mc="http://schemas.openxmlformats.org/markup-compatibility/2006">
    <mc:Choice Requires="x15">
      <x15ac:absPath xmlns:x15ac="http://schemas.microsoft.com/office/spreadsheetml/2010/11/ac" url="/Users/bartschuurman/Desktop/RuOps/"/>
    </mc:Choice>
  </mc:AlternateContent>
  <xr:revisionPtr revIDLastSave="0" documentId="13_ncr:1_{1976CDD4-063B-D34E-811B-AF34524924FE}" xr6:coauthVersionLast="47" xr6:coauthVersionMax="47" xr10:uidLastSave="{00000000-0000-0000-0000-000000000000}"/>
  <bookViews>
    <workbookView xWindow="0" yWindow="740" windowWidth="29400" windowHeight="16420" xr2:uid="{49DD2EC1-4515-4844-8063-50EA3327BD93}"/>
  </bookViews>
  <sheets>
    <sheet name="ReadMe" sheetId="7" r:id="rId1"/>
    <sheet name="EventData" sheetId="1" r:id="rId2"/>
    <sheet name="Visualization" sheetId="3" r:id="rId3"/>
    <sheet name="CategoricalVariables" sheetId="2" r:id="rId4"/>
    <sheet name="Excluded" sheetId="4" r:id="rId5"/>
    <sheet name="DroneSightingsQ4_2025" sheetId="11" r:id="rId6"/>
    <sheet name="ChangeLog" sheetId="10"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H42" i="3" l="1"/>
  <c r="H43" i="3"/>
  <c r="H44" i="3"/>
  <c r="H45" i="3"/>
  <c r="H46" i="3"/>
  <c r="H47" i="3"/>
  <c r="H48" i="3"/>
  <c r="H49" i="3"/>
  <c r="H32" i="3"/>
  <c r="H33" i="3"/>
  <c r="H34" i="3"/>
  <c r="H35" i="3"/>
  <c r="H36" i="3"/>
  <c r="H37" i="3"/>
  <c r="H38" i="3"/>
  <c r="H39" i="3"/>
  <c r="H40" i="3"/>
  <c r="H41" i="3"/>
  <c r="H10" i="3"/>
  <c r="H11" i="3"/>
  <c r="H12" i="3"/>
  <c r="H13" i="3"/>
  <c r="H14" i="3"/>
  <c r="H15" i="3"/>
  <c r="H16" i="3"/>
  <c r="H17" i="3"/>
  <c r="H18" i="3"/>
  <c r="H19" i="3"/>
  <c r="H20" i="3"/>
  <c r="H21" i="3"/>
  <c r="H22" i="3"/>
  <c r="H23" i="3"/>
  <c r="H24" i="3"/>
  <c r="H25" i="3"/>
  <c r="H26" i="3"/>
  <c r="H27" i="3"/>
  <c r="H28" i="3"/>
  <c r="H29" i="3"/>
  <c r="H30" i="3"/>
  <c r="H31" i="3"/>
  <c r="H3" i="3"/>
  <c r="H4" i="3"/>
  <c r="H5" i="3"/>
  <c r="H6" i="3"/>
  <c r="H7" i="3"/>
  <c r="H8" i="3"/>
  <c r="H9" i="3"/>
  <c r="H2" i="3"/>
  <c r="G49" i="3"/>
  <c r="G48" i="3"/>
  <c r="G47" i="3"/>
  <c r="G46" i="3"/>
  <c r="G45" i="3"/>
  <c r="G44" i="3"/>
  <c r="G43" i="3"/>
  <c r="G42" i="3"/>
  <c r="G41" i="3"/>
  <c r="G40" i="3"/>
  <c r="G39" i="3"/>
  <c r="G38" i="3"/>
  <c r="G37" i="3"/>
  <c r="G36" i="3"/>
  <c r="G35" i="3"/>
  <c r="G34" i="3"/>
  <c r="G33" i="3"/>
  <c r="G32" i="3"/>
  <c r="G31" i="3"/>
  <c r="G30" i="3"/>
  <c r="G29" i="3"/>
  <c r="G28" i="3"/>
  <c r="G27" i="3"/>
  <c r="G26" i="3"/>
  <c r="G25" i="3"/>
  <c r="G24" i="3"/>
  <c r="G23" i="3"/>
  <c r="G22" i="3"/>
  <c r="G21" i="3"/>
  <c r="G20" i="3"/>
  <c r="G19" i="3"/>
  <c r="G18" i="3"/>
  <c r="G17" i="3"/>
  <c r="G16" i="3"/>
  <c r="G15" i="3"/>
  <c r="G14" i="3"/>
  <c r="G13" i="3"/>
  <c r="G12" i="3"/>
  <c r="G11" i="3"/>
  <c r="G10" i="3"/>
  <c r="G9" i="3"/>
  <c r="G8" i="3"/>
  <c r="G7" i="3"/>
  <c r="G6" i="3"/>
  <c r="G5" i="3"/>
  <c r="G4" i="3"/>
  <c r="G3" i="3"/>
  <c r="G2" i="3"/>
  <c r="AJ24" i="3"/>
  <c r="AI24" i="3"/>
  <c r="AH24" i="3"/>
  <c r="AG24" i="3"/>
  <c r="T10" i="3"/>
  <c r="U10" i="3"/>
  <c r="V10" i="3"/>
  <c r="S10" i="3"/>
  <c r="M9" i="3"/>
  <c r="N9" i="3"/>
  <c r="O9" i="3"/>
  <c r="L9" i="3"/>
  <c r="V5" i="3"/>
  <c r="U5" i="3"/>
  <c r="T5" i="3"/>
  <c r="S5" i="3"/>
  <c r="N8" i="3"/>
  <c r="M8" i="3"/>
  <c r="O8" i="3"/>
  <c r="L8" i="3"/>
  <c r="M7" i="3"/>
  <c r="N7" i="3"/>
  <c r="O7" i="3"/>
  <c r="L7" i="3"/>
  <c r="AC5" i="3"/>
  <c r="AB5" i="3"/>
  <c r="AA5" i="3"/>
  <c r="Z5" i="3"/>
  <c r="C3" i="3"/>
  <c r="C4" i="3"/>
  <c r="C5" i="3"/>
  <c r="C2" i="3"/>
  <c r="I31" i="3" l="1"/>
  <c r="I22" i="3"/>
  <c r="I20" i="3"/>
  <c r="I13" i="3"/>
  <c r="I12" i="3"/>
  <c r="I9" i="3"/>
  <c r="I4" i="3"/>
  <c r="I3" i="3"/>
  <c r="I2" i="3"/>
  <c r="I21" i="3"/>
  <c r="I35" i="3"/>
  <c r="I29" i="3"/>
  <c r="I10" i="3"/>
  <c r="I6" i="3"/>
  <c r="I30" i="3"/>
  <c r="I40" i="3"/>
  <c r="I11" i="3"/>
  <c r="I47" i="3"/>
  <c r="I44" i="3"/>
  <c r="I41" i="3"/>
  <c r="I39" i="3"/>
  <c r="I34" i="3"/>
  <c r="I25" i="3"/>
  <c r="I18" i="3"/>
  <c r="I33" i="3"/>
  <c r="I23" i="3"/>
  <c r="I19" i="3"/>
  <c r="I14" i="3"/>
  <c r="I8" i="3"/>
  <c r="I24" i="3"/>
  <c r="I17" i="3"/>
  <c r="I5" i="3"/>
  <c r="I36" i="3"/>
  <c r="I26" i="3"/>
  <c r="I7" i="3"/>
  <c r="I49" i="3"/>
  <c r="I46" i="3"/>
  <c r="I43" i="3"/>
  <c r="I38" i="3"/>
  <c r="I32" i="3"/>
  <c r="I28" i="3"/>
  <c r="I15" i="3"/>
  <c r="I48" i="3"/>
  <c r="I45" i="3"/>
  <c r="I42" i="3"/>
  <c r="I37" i="3"/>
  <c r="I27" i="3"/>
  <c r="I16" i="3"/>
  <c r="AK24" i="3"/>
  <c r="C6" i="3"/>
  <c r="P9" i="3"/>
  <c r="W10" i="3"/>
  <c r="W5" i="3"/>
  <c r="P8" i="3"/>
  <c r="P7" i="3"/>
  <c r="AD5" i="3"/>
  <c r="AC15" i="3"/>
  <c r="AB15" i="3"/>
  <c r="AA15" i="3"/>
  <c r="Z15" i="3"/>
  <c r="B5" i="3"/>
  <c r="D5" i="3" s="1"/>
  <c r="Z13" i="3"/>
  <c r="AA13" i="3"/>
  <c r="AC13" i="3"/>
  <c r="AB13" i="3"/>
  <c r="Z10" i="3"/>
  <c r="AA10" i="3"/>
  <c r="AC10" i="3"/>
  <c r="AB10" i="3"/>
  <c r="AC4" i="3"/>
  <c r="AC7" i="3"/>
  <c r="AC12" i="3"/>
  <c r="AC8" i="3"/>
  <c r="AC14" i="3"/>
  <c r="AC11" i="3"/>
  <c r="AC9" i="3"/>
  <c r="AC3" i="3"/>
  <c r="AC2" i="3"/>
  <c r="AC6" i="3"/>
  <c r="V13" i="3"/>
  <c r="V11" i="3"/>
  <c r="V9" i="3"/>
  <c r="V7" i="3"/>
  <c r="V12" i="3"/>
  <c r="V6" i="3"/>
  <c r="V8" i="3"/>
  <c r="V4" i="3"/>
  <c r="V3" i="3"/>
  <c r="V2" i="3"/>
  <c r="O10" i="3"/>
  <c r="O6" i="3"/>
  <c r="O11" i="3"/>
  <c r="O2" i="3"/>
  <c r="O5" i="3"/>
  <c r="O4" i="3"/>
  <c r="O3" i="3"/>
  <c r="AI5" i="3"/>
  <c r="AJ5" i="3"/>
  <c r="AH5" i="3"/>
  <c r="AG5" i="3"/>
  <c r="AJ7" i="3"/>
  <c r="AJ9" i="3"/>
  <c r="AJ11" i="3"/>
  <c r="AJ17" i="3"/>
  <c r="AJ16" i="3"/>
  <c r="AJ15" i="3"/>
  <c r="AJ23" i="3"/>
  <c r="AJ6" i="3"/>
  <c r="AJ12" i="3"/>
  <c r="AJ18" i="3"/>
  <c r="AJ10" i="3"/>
  <c r="AJ22" i="3"/>
  <c r="AJ25" i="3"/>
  <c r="AJ19" i="3"/>
  <c r="AJ20" i="3"/>
  <c r="AG21" i="3"/>
  <c r="AH21" i="3"/>
  <c r="AI21" i="3"/>
  <c r="AJ21" i="3"/>
  <c r="AJ13" i="3"/>
  <c r="AJ8" i="3"/>
  <c r="AJ3" i="3"/>
  <c r="AI3" i="3"/>
  <c r="AJ4" i="3"/>
  <c r="AJ2" i="3"/>
  <c r="AJ14" i="3"/>
  <c r="AH14" i="3"/>
  <c r="AI14" i="3"/>
  <c r="AG14" i="3"/>
  <c r="AH20" i="3"/>
  <c r="AI20" i="3"/>
  <c r="AG20" i="3"/>
  <c r="AH19" i="3"/>
  <c r="AI19" i="3"/>
  <c r="AG19" i="3"/>
  <c r="AD10" i="3" l="1"/>
  <c r="AD13" i="3"/>
  <c r="AK5" i="3"/>
  <c r="AK14" i="3"/>
  <c r="AK20" i="3"/>
  <c r="AK19" i="3"/>
  <c r="AK21" i="3"/>
  <c r="AH25" i="3"/>
  <c r="AI25" i="3"/>
  <c r="AG25" i="3"/>
  <c r="AA4" i="3"/>
  <c r="AB4" i="3"/>
  <c r="Z4" i="3"/>
  <c r="AA3" i="3"/>
  <c r="AB3" i="3"/>
  <c r="Z3" i="3"/>
  <c r="AA2" i="3"/>
  <c r="AB2" i="3"/>
  <c r="Z2" i="3"/>
  <c r="AA9" i="3"/>
  <c r="AB9" i="3"/>
  <c r="Z9" i="3"/>
  <c r="AH16" i="3"/>
  <c r="AI16" i="3"/>
  <c r="AG8" i="3"/>
  <c r="AA14" i="3"/>
  <c r="AB14" i="3"/>
  <c r="Z14" i="3"/>
  <c r="AA8" i="3"/>
  <c r="AB8" i="3"/>
  <c r="Z8" i="3"/>
  <c r="AA12" i="3"/>
  <c r="AB12" i="3"/>
  <c r="Z12" i="3"/>
  <c r="AA6" i="3"/>
  <c r="AB6" i="3"/>
  <c r="Z6" i="3"/>
  <c r="AA7" i="3"/>
  <c r="AB7" i="3"/>
  <c r="Z7" i="3"/>
  <c r="AA11" i="3"/>
  <c r="AB11" i="3"/>
  <c r="Z11" i="3"/>
  <c r="T12" i="3"/>
  <c r="U12" i="3"/>
  <c r="S12" i="3"/>
  <c r="T6" i="3"/>
  <c r="U6" i="3"/>
  <c r="S6" i="3"/>
  <c r="T2" i="3"/>
  <c r="U2" i="3"/>
  <c r="S2" i="3"/>
  <c r="T8" i="3"/>
  <c r="U8" i="3"/>
  <c r="S8" i="3"/>
  <c r="T4" i="3"/>
  <c r="U4" i="3"/>
  <c r="S4" i="3"/>
  <c r="T3" i="3"/>
  <c r="U3" i="3"/>
  <c r="S3" i="3"/>
  <c r="T9" i="3"/>
  <c r="U9" i="3"/>
  <c r="S9" i="3"/>
  <c r="T11" i="3"/>
  <c r="U11" i="3"/>
  <c r="S11" i="3"/>
  <c r="T13" i="3"/>
  <c r="U13" i="3"/>
  <c r="S13" i="3"/>
  <c r="T7" i="3"/>
  <c r="U7" i="3"/>
  <c r="S7" i="3"/>
  <c r="L2" i="3"/>
  <c r="M2" i="3"/>
  <c r="N2" i="3"/>
  <c r="M3" i="3"/>
  <c r="N3" i="3"/>
  <c r="L3" i="3"/>
  <c r="M6" i="3"/>
  <c r="N6" i="3"/>
  <c r="L6" i="3"/>
  <c r="M4" i="3"/>
  <c r="N4" i="3"/>
  <c r="L4" i="3"/>
  <c r="M11" i="3"/>
  <c r="N11" i="3"/>
  <c r="L11" i="3"/>
  <c r="M5" i="3"/>
  <c r="N5" i="3"/>
  <c r="L5" i="3"/>
  <c r="M10" i="3"/>
  <c r="N10" i="3"/>
  <c r="L10" i="3"/>
  <c r="AH15" i="3"/>
  <c r="AI15" i="3"/>
  <c r="AH22" i="3"/>
  <c r="AI22" i="3"/>
  <c r="AG15" i="3"/>
  <c r="AG22" i="3"/>
  <c r="AH17" i="3"/>
  <c r="AI17" i="3"/>
  <c r="AG17" i="3"/>
  <c r="AI9" i="3"/>
  <c r="AH9" i="3"/>
  <c r="AG9" i="3"/>
  <c r="AG4" i="3"/>
  <c r="AH4" i="3"/>
  <c r="AI4" i="3"/>
  <c r="AI10" i="3"/>
  <c r="AG10" i="3"/>
  <c r="AH10" i="3"/>
  <c r="AI23" i="3"/>
  <c r="AH23" i="3"/>
  <c r="AG23" i="3"/>
  <c r="AI8" i="3"/>
  <c r="AH8" i="3"/>
  <c r="AG16" i="3"/>
  <c r="AI12" i="3"/>
  <c r="AH12" i="3"/>
  <c r="AG12" i="3"/>
  <c r="AI6" i="3"/>
  <c r="AH6" i="3"/>
  <c r="AG6" i="3"/>
  <c r="AH3" i="3"/>
  <c r="AG3" i="3"/>
  <c r="AI2" i="3"/>
  <c r="AH2" i="3"/>
  <c r="AG2" i="3"/>
  <c r="AI13" i="3"/>
  <c r="AH13" i="3"/>
  <c r="AG13" i="3"/>
  <c r="AG18" i="3"/>
  <c r="AH18" i="3"/>
  <c r="AI18" i="3"/>
  <c r="AI7" i="3"/>
  <c r="AH7" i="3"/>
  <c r="AG7" i="3"/>
  <c r="AG11" i="3"/>
  <c r="AI11" i="3"/>
  <c r="AH11" i="3"/>
  <c r="AK16" i="3" l="1"/>
  <c r="W3" i="3"/>
  <c r="AD2" i="3"/>
  <c r="AD12" i="3"/>
  <c r="AD3" i="3"/>
  <c r="AD4" i="3"/>
  <c r="AD14" i="3"/>
  <c r="AD7" i="3"/>
  <c r="W13" i="3"/>
  <c r="AD11" i="3"/>
  <c r="AD9" i="3"/>
  <c r="W9" i="3"/>
  <c r="W8" i="3"/>
  <c r="AD6" i="3"/>
  <c r="AD8" i="3"/>
  <c r="AD15" i="3"/>
  <c r="W12" i="3"/>
  <c r="W11" i="3"/>
  <c r="W4" i="3"/>
  <c r="W7" i="3"/>
  <c r="W2" i="3"/>
  <c r="P6" i="3"/>
  <c r="W6" i="3"/>
  <c r="P5" i="3"/>
  <c r="P4" i="3"/>
  <c r="P10" i="3"/>
  <c r="P2" i="3"/>
  <c r="P11" i="3"/>
  <c r="P3" i="3"/>
  <c r="AK25" i="3"/>
  <c r="AK18" i="3"/>
  <c r="AK17" i="3"/>
  <c r="AK13" i="3"/>
  <c r="AK6" i="3"/>
  <c r="AK22" i="3"/>
  <c r="AK9" i="3"/>
  <c r="AK7" i="3"/>
  <c r="AK12" i="3"/>
  <c r="AK3" i="3"/>
  <c r="AK10" i="3"/>
  <c r="AK8" i="3"/>
  <c r="AK11" i="3"/>
  <c r="AK2" i="3"/>
  <c r="AK23" i="3"/>
  <c r="AK4" i="3"/>
  <c r="AK15" i="3"/>
  <c r="B4" i="3"/>
  <c r="D4" i="3" s="1"/>
  <c r="B3" i="3"/>
  <c r="D3" i="3" s="1"/>
  <c r="B2" i="3"/>
  <c r="D2" i="3" s="1"/>
  <c r="B6" i="3" l="1"/>
  <c r="D6" i="3" s="1"/>
</calcChain>
</file>

<file path=xl/sharedStrings.xml><?xml version="1.0" encoding="utf-8"?>
<sst xmlns="http://schemas.openxmlformats.org/spreadsheetml/2006/main" count="2550" uniqueCount="583">
  <si>
    <t>What</t>
  </si>
  <si>
    <t>Where</t>
  </si>
  <si>
    <t>EventCategory</t>
  </si>
  <si>
    <t>Terrorism</t>
  </si>
  <si>
    <t>Option 1</t>
  </si>
  <si>
    <t>Option 2</t>
  </si>
  <si>
    <t>Option 3</t>
  </si>
  <si>
    <t>Option 4</t>
  </si>
  <si>
    <t>Option 5</t>
  </si>
  <si>
    <t>Option 6</t>
  </si>
  <si>
    <t>Variabe</t>
  </si>
  <si>
    <t>Nord Stream 1&amp;2 sabotage</t>
  </si>
  <si>
    <t>Baltic Sea</t>
  </si>
  <si>
    <t>Note</t>
  </si>
  <si>
    <t>For discussion</t>
  </si>
  <si>
    <t>Unknown</t>
  </si>
  <si>
    <t>EventCategory2</t>
  </si>
  <si>
    <t>Option 7</t>
  </si>
  <si>
    <t>Option 8</t>
  </si>
  <si>
    <t>Option 9</t>
  </si>
  <si>
    <t>Option 10</t>
  </si>
  <si>
    <t>Option 11</t>
  </si>
  <si>
    <t>Option 12</t>
  </si>
  <si>
    <t>Does not apply</t>
  </si>
  <si>
    <t>Yes</t>
  </si>
  <si>
    <t>No</t>
  </si>
  <si>
    <t>TargetType</t>
  </si>
  <si>
    <t>TargetType2</t>
  </si>
  <si>
    <t>Binary</t>
  </si>
  <si>
    <t>DNA</t>
  </si>
  <si>
    <t>Finland</t>
  </si>
  <si>
    <t>Option 13</t>
  </si>
  <si>
    <t>Option 14</t>
  </si>
  <si>
    <t>Border</t>
  </si>
  <si>
    <t>Two Russian spies arrested for spionage US bases &amp; planning sabotage military transport routes</t>
  </si>
  <si>
    <t>Germany</t>
  </si>
  <si>
    <t>Year</t>
  </si>
  <si>
    <t>September</t>
  </si>
  <si>
    <t>November</t>
  </si>
  <si>
    <t>October</t>
  </si>
  <si>
    <t>January</t>
  </si>
  <si>
    <t>April</t>
  </si>
  <si>
    <t>May</t>
  </si>
  <si>
    <t>Poland</t>
  </si>
  <si>
    <t>Explosives cache found near NATO pipeline in Germany</t>
  </si>
  <si>
    <t>Arms deliveries to Ukraine</t>
  </si>
  <si>
    <t>July</t>
  </si>
  <si>
    <t>Incendiary device placed on plane, ignites in DHL warehouse UK</t>
  </si>
  <si>
    <t>United Kingdom</t>
  </si>
  <si>
    <t>Civil aviation</t>
  </si>
  <si>
    <t>Incendiary device about to be loaded on plane, ignites in DHL warehouse Germany</t>
  </si>
  <si>
    <t>Arson attack on Ukraine-linked business in East London</t>
  </si>
  <si>
    <t>Russian GPS jamming of Finish airports</t>
  </si>
  <si>
    <t>August</t>
  </si>
  <si>
    <t>Hackers disrupt Polish railway system</t>
  </si>
  <si>
    <t>Transport infrastructure</t>
  </si>
  <si>
    <t>No. Of incidents</t>
  </si>
  <si>
    <t>February</t>
  </si>
  <si>
    <t>Spain</t>
  </si>
  <si>
    <t>Assassination</t>
  </si>
  <si>
    <t>Type of incident</t>
  </si>
  <si>
    <t>Sabotage</t>
  </si>
  <si>
    <t>Type of target</t>
  </si>
  <si>
    <t>March</t>
  </si>
  <si>
    <t>June</t>
  </si>
  <si>
    <t xml:space="preserve">Czechia </t>
  </si>
  <si>
    <t>Arson attempt on buses in Prague</t>
  </si>
  <si>
    <t>Intrusion into Swedish water treatment plant</t>
  </si>
  <si>
    <t>Sweden</t>
  </si>
  <si>
    <t>Public services</t>
  </si>
  <si>
    <t>Hole cut in fence around water treatment plant near Cologne</t>
  </si>
  <si>
    <t>Spionage of Lielvarde military airfield, near Rembate, Latvia</t>
  </si>
  <si>
    <t>Latvia</t>
  </si>
  <si>
    <t>Locations targeted</t>
  </si>
  <si>
    <t>North Sea</t>
  </si>
  <si>
    <t>Lithuania</t>
  </si>
  <si>
    <t>Czechia</t>
  </si>
  <si>
    <t>Estonia</t>
  </si>
  <si>
    <t>Vandalizing car of Estonian interior minister</t>
  </si>
  <si>
    <t>Vandalizing car of Estonian journalist</t>
  </si>
  <si>
    <t>Arson attempt Latvian Museum of Occupation</t>
  </si>
  <si>
    <t>Spraypainting 'KILLNET HACKED YOU' on Cyber Defence Centre, Tallinn</t>
  </si>
  <si>
    <t>Vandalism</t>
  </si>
  <si>
    <t>IncidentYear</t>
  </si>
  <si>
    <t>IncidentMonth</t>
  </si>
  <si>
    <t>IncidentDateRange</t>
  </si>
  <si>
    <t>IncidentDateStart</t>
  </si>
  <si>
    <t>IncidentDateEnd</t>
  </si>
  <si>
    <t>One of two cables connecting Spitsbergen to mainland Norway cut</t>
  </si>
  <si>
    <t>North Sea; Baltic Sea</t>
  </si>
  <si>
    <t>Ongoing attempt to map offshore comms/energy infrastructure in North Sea / Baltic</t>
  </si>
  <si>
    <t>Ongoing for years.</t>
  </si>
  <si>
    <t>December</t>
  </si>
  <si>
    <t>Arson attempt on paint factory / fuel depot Wroclaw, Poland</t>
  </si>
  <si>
    <t>Arson attack IKEA Vilnius</t>
  </si>
  <si>
    <t>Pole Pawel K. arrested for involvement in plot to assassinate Zelensky.</t>
  </si>
  <si>
    <t>Russians kill defected pilot in Spain</t>
  </si>
  <si>
    <t>Russian arrested on suspicion of plot to destabilize Olympics</t>
  </si>
  <si>
    <t>France</t>
  </si>
  <si>
    <t>Five coffins with French flag &amp; 'French soldiers in Ukraine' near Eiffel tower</t>
  </si>
  <si>
    <t>Russian-Ukrainian man arrested in Paris with explosives, intended to target hardware store</t>
  </si>
  <si>
    <t>Pro-Russian campaign to influence 2024 EU parliamentary elections by Jean-Luc Schaffhauser</t>
  </si>
  <si>
    <t>Voice of Europe, cash payments to anti-establishment politicians, Russian attempt to influence EU Parliament elections</t>
  </si>
  <si>
    <t>Germany;Belgium;France;Czechia;Netherlands;</t>
  </si>
  <si>
    <t>Belgium</t>
  </si>
  <si>
    <t>October 2022 German rail sabotage - no sign of state involvement, say German police</t>
  </si>
  <si>
    <t>Stars of David graffiti in Paris, suspected Russian influence op</t>
  </si>
  <si>
    <t>Cyber Army of Russia Reborn infiltrates wastewater facility Poland, village of Wydminy</t>
  </si>
  <si>
    <t>Cyber Army of Russia Reborn infiltrates water mill in France / hydroelectric dam Sur Yvonne</t>
  </si>
  <si>
    <t>Bulgaria</t>
  </si>
  <si>
    <t>Arms factory fire / explosion in Karnobat, Bulgaria 2022</t>
  </si>
  <si>
    <t>Arms factory fire / explosion in Karnobat, Bulgaria 2023</t>
  </si>
  <si>
    <t>Attempt to sabotage arms deliveries to Ukraine in Poland, plant cameras, recruit Ukrainian refugees</t>
  </si>
  <si>
    <t>Building (far) left &amp; (far) right-wing anti-war coaltion in Germany (Wagenknecht / AfD)</t>
  </si>
  <si>
    <t>Bornholm (Denmark) power cut 2022</t>
  </si>
  <si>
    <t>Russian nationals flying drones over Norwegian airports, energy infrastructure, photographing</t>
  </si>
  <si>
    <t>Norway</t>
  </si>
  <si>
    <t>Russia sends large number immigrants towards Finish border</t>
  </si>
  <si>
    <t>Illegal immigration sent towards Poland by Russia / Belarus, since 2021 ie before invasion</t>
  </si>
  <si>
    <t>Romania</t>
  </si>
  <si>
    <t>Digital and/or physical break-ins Swedish arms manufacturers, potential sabotage prep / disruption</t>
  </si>
  <si>
    <t>Baltic Sea; Finland; Latvia; Lithuania; Poland; Romania; Bulgaria</t>
  </si>
  <si>
    <t>GPS jamming &amp; spoofing over Baltic Sea. As well as near Black Sea</t>
  </si>
  <si>
    <t>ApparentGoal1</t>
  </si>
  <si>
    <t>ApparentGoal2</t>
  </si>
  <si>
    <t>ApparentGoal</t>
  </si>
  <si>
    <t>Disrupt daily life</t>
  </si>
  <si>
    <t>Disruptive immigration</t>
  </si>
  <si>
    <t>Inflict economic damage</t>
  </si>
  <si>
    <t>Sabotage (preparation)</t>
  </si>
  <si>
    <t>Assassination (plot)</t>
  </si>
  <si>
    <t>Assassination (attempt)</t>
  </si>
  <si>
    <t>Degrade military infrastructure</t>
  </si>
  <si>
    <t>Disrupt (military) aid to Ukraine</t>
  </si>
  <si>
    <t>Disrupt (civil) aviation</t>
  </si>
  <si>
    <t>Dissuade defection</t>
  </si>
  <si>
    <t>Sabotage (attempt)</t>
  </si>
  <si>
    <t>Influence operation</t>
  </si>
  <si>
    <t>Compromise domestic / EU politics</t>
  </si>
  <si>
    <t>Compromise public utilities</t>
  </si>
  <si>
    <t>Russia removes border buoys Estonian river Narva</t>
  </si>
  <si>
    <t>11 break-ins in Finish water towers / treatment plants</t>
  </si>
  <si>
    <t>Planned / attempted sabotage attack against Geilenkirchen base with drones</t>
  </si>
  <si>
    <t>Memorial sites / Landmarks</t>
  </si>
  <si>
    <t>Sabotage*</t>
  </si>
  <si>
    <t>* Includes preparations for &amp; attempted</t>
  </si>
  <si>
    <t>Degrade energy supply / communications infrastructure</t>
  </si>
  <si>
    <t>Assassination**</t>
  </si>
  <si>
    <t>** Includes plots &amp; attempts</t>
  </si>
  <si>
    <t>Apparent Goal</t>
  </si>
  <si>
    <t>Energy / communications infrastructure</t>
  </si>
  <si>
    <t>Military / weapons production infrastructure</t>
  </si>
  <si>
    <t>Excluded incidents*</t>
  </si>
  <si>
    <t>* No clear link with Russia (e.g., no govermental allegation or speculation, variety of causes hypothesized, etc.)</t>
  </si>
  <si>
    <t>December 2024 damage to Internet cable between Finland and Sweden</t>
  </si>
  <si>
    <t>Turns out to be non-sabotage related</t>
  </si>
  <si>
    <t>Railway sabotage in France ahead of 2024 Olympics - Far Left suspected</t>
  </si>
  <si>
    <t>British defense minister plane GPS jammed over Poland - already captured by general GPS jamming entry</t>
  </si>
  <si>
    <t>Potential involvement Ukrainians rules out inclusion</t>
  </si>
  <si>
    <t>Mesko, Poland arms factory explosion, June 2024. No external force - Tusk</t>
  </si>
  <si>
    <t>Fire at BAE systems nuclear shipyard, 30 October 2024 - Ruled industrial accident</t>
  </si>
  <si>
    <t>Drones sighted over Stockholm Arland airport, September 2024 - no allegation of Russian involvement</t>
  </si>
  <si>
    <t>Drones spotted over UK bases, November 2024 - no (clear) sign or allegation of Russian involvement</t>
  </si>
  <si>
    <t>Signal flare fired at German helicopter by Russian vessel in Baltic sea, December 2024</t>
  </si>
  <si>
    <t>(Link with) additional information</t>
  </si>
  <si>
    <r>
      <t xml:space="preserve">Event data collected on (attempted) sabotage, attacks &amp; influence campaigns in the </t>
    </r>
    <r>
      <rPr>
        <b/>
        <sz val="12"/>
        <color theme="1"/>
        <rFont val="Calibri"/>
        <family val="2"/>
        <scheme val="minor"/>
      </rPr>
      <t>physical</t>
    </r>
    <r>
      <rPr>
        <sz val="12"/>
        <color theme="1"/>
        <rFont val="Calibri"/>
        <family val="2"/>
        <scheme val="minor"/>
      </rPr>
      <t xml:space="preserve"> domain, or with a clear effect on a physical object / service / person.   </t>
    </r>
  </si>
  <si>
    <t>As a result, cyber operations were largely left out of consideration, as hundreds if not thousands of incidents too many to tally in time available; only included when physical effect / consequence present (e.g., disruption of water works).</t>
  </si>
  <si>
    <t>Event data focuses solely on Europe, in particular European Union member states.</t>
  </si>
  <si>
    <t xml:space="preserve">Copyright: </t>
  </si>
  <si>
    <t>License:</t>
  </si>
  <si>
    <r>
      <t xml:space="preserve">Despite our best efforts and precautions, this event data should be treated as </t>
    </r>
    <r>
      <rPr>
        <b/>
        <sz val="12"/>
        <color theme="1"/>
        <rFont val="Calibri"/>
        <family val="2"/>
        <scheme val="minor"/>
      </rPr>
      <t xml:space="preserve">speculative, </t>
    </r>
    <r>
      <rPr>
        <sz val="12"/>
        <color theme="1"/>
        <rFont val="Calibri"/>
        <family val="2"/>
        <scheme val="minor"/>
      </rPr>
      <t>likely</t>
    </r>
    <r>
      <rPr>
        <b/>
        <sz val="12"/>
        <color theme="1"/>
        <rFont val="Calibri"/>
        <family val="2"/>
        <scheme val="minor"/>
      </rPr>
      <t xml:space="preserve"> to be incomplete</t>
    </r>
    <r>
      <rPr>
        <sz val="12"/>
        <color theme="1"/>
        <rFont val="Calibri"/>
        <family val="2"/>
        <scheme val="minor"/>
      </rPr>
      <t xml:space="preserve"> (underreporting the total number of incidents) and </t>
    </r>
    <r>
      <rPr>
        <b/>
        <sz val="12"/>
        <color theme="1"/>
        <rFont val="Calibri"/>
        <family val="2"/>
        <scheme val="minor"/>
      </rPr>
      <t>subject to change</t>
    </r>
    <r>
      <rPr>
        <sz val="12"/>
        <color theme="1"/>
        <rFont val="Calibri"/>
        <family val="2"/>
        <scheme val="minor"/>
      </rPr>
      <t xml:space="preserve">. </t>
    </r>
  </si>
  <si>
    <t>The primary purpose of this event data is to help inform the public debate on Russia's increasingly aggressive operations in Europe following its invasion of Ukraine by providing an overview of events &amp; attacks related to the physical domain.</t>
  </si>
  <si>
    <t>Acknowledgements:</t>
  </si>
  <si>
    <t>Interpreting the Russian Operations Against Europe Event Dataset</t>
  </si>
  <si>
    <t>Project website:</t>
  </si>
  <si>
    <t>https://bewakenenbeveiligen.universiteitleiden.nl/about</t>
  </si>
  <si>
    <t>Russian interference in Romanian elections to back Calin Georgescu, who wants to end aid to Ukraine</t>
  </si>
  <si>
    <t>Categories used</t>
  </si>
  <si>
    <r>
      <t xml:space="preserve">Degrading or destroying infrastructure or facilities for political, economic or military advantage. Includes </t>
    </r>
    <r>
      <rPr>
        <b/>
        <sz val="12"/>
        <color theme="1"/>
        <rFont val="Calibri"/>
        <family val="2"/>
        <scheme val="minor"/>
      </rPr>
      <t>attempted</t>
    </r>
    <r>
      <rPr>
        <sz val="12"/>
        <color theme="1"/>
        <rFont val="Calibri"/>
        <family val="2"/>
        <scheme val="minor"/>
      </rPr>
      <t xml:space="preserve"> and </t>
    </r>
    <r>
      <rPr>
        <b/>
        <sz val="12"/>
        <color theme="1"/>
        <rFont val="Calibri"/>
        <family val="2"/>
        <scheme val="minor"/>
      </rPr>
      <t>planned</t>
    </r>
    <r>
      <rPr>
        <sz val="12"/>
        <color theme="1"/>
        <rFont val="Calibri"/>
        <family val="2"/>
        <scheme val="minor"/>
      </rPr>
      <t xml:space="preserve"> sabotage.</t>
    </r>
  </si>
  <si>
    <t>Deliberate destruction or damage to public or private property, here intended to serve political purposes such as sowing fear or chaos.</t>
  </si>
  <si>
    <t>Campaigns or actions intended to influence the (political) views of European citizens or politicians, here with the aim of undermining support for Ukraine or destabilizing domestic / EU politics.</t>
  </si>
  <si>
    <r>
      <t xml:space="preserve">Murder for political reasons. Includes </t>
    </r>
    <r>
      <rPr>
        <b/>
        <sz val="12"/>
        <color theme="1"/>
        <rFont val="Calibri"/>
        <family val="2"/>
        <scheme val="minor"/>
      </rPr>
      <t>plots</t>
    </r>
    <r>
      <rPr>
        <sz val="12"/>
        <color theme="1"/>
        <rFont val="Calibri"/>
        <family val="2"/>
        <scheme val="minor"/>
      </rPr>
      <t xml:space="preserve"> and </t>
    </r>
    <r>
      <rPr>
        <b/>
        <sz val="12"/>
        <color theme="1"/>
        <rFont val="Calibri"/>
        <family val="2"/>
        <scheme val="minor"/>
      </rPr>
      <t>attempts.</t>
    </r>
  </si>
  <si>
    <t>Deliberately creating large and/or enduring immigration / refugee flows towards EU member states' borders.</t>
  </si>
  <si>
    <t>Deliberate use of deadly violence against civilian targets (e.g., transport aircraft) with the aim of influencing larger audiences beyond those targeted in furtherance of a political cause, e.g., to intimidate or inspire.</t>
  </si>
  <si>
    <t>Stop people from defecting from the Russian armed forces / state by demonstrating the potential costs (e.g., being killed) of doing so.</t>
  </si>
  <si>
    <t>As described.</t>
  </si>
  <si>
    <t>Interfering with the ability of (civil) aviation to operate safely, e.g. through GPS jamming or flying drones over airpots.</t>
  </si>
  <si>
    <t>Damaging or destroying military facilities / equipment.</t>
  </si>
  <si>
    <t>Damaging or destroying public utilities such as water treatment plants, or engaging in preparations to do so.</t>
  </si>
  <si>
    <t>Degrade energy supply / commmunciations infrastructure</t>
  </si>
  <si>
    <t>Damageing or destroying the facilities or infrastructure involved in the provision of energy or enabling telecommunications, or engaging in preparations to do so (e.g., undersea cables).</t>
  </si>
  <si>
    <t>Attempts to influence politicians, political parties, or public opinion regarding politics such that pro-Russian voices become stronger, and / or support for Ukraine is undermined.</t>
  </si>
  <si>
    <t>Damaging or destroying buildings / facilities / infrastructure / services with the aim of causing economic damage.</t>
  </si>
  <si>
    <t>Physically degrading the ability of EU states to deliver aid to Ukraine (e.g., sabotating railroads) and / or underming public / political opinion such that aid for Ukraine is negatively affected.</t>
  </si>
  <si>
    <t>Attempts to influence EU citizen's daily life by damaging or destroying publc property / services, and / or spreading confusion / chaos among citizens with unexpected and stressful events such as vandalism, arson, intimidating displays.</t>
  </si>
  <si>
    <t>Production, shipment, or storage of weapons and military materiel intended for the Urkainian armed forces in their war against the Russian invaders.</t>
  </si>
  <si>
    <t>Borders between European countries and Russia / Belarus.</t>
  </si>
  <si>
    <t>Airplanes / airports used for the transportation of goods and or passengers.</t>
  </si>
  <si>
    <t>Warehouses, railways, roads, buses, trains, etc.</t>
  </si>
  <si>
    <t>Shopping center / Public space / Memorial / Landmark</t>
  </si>
  <si>
    <t>Power cables, power plants, internet cables, data centers, etc. (including underseas).</t>
  </si>
  <si>
    <t>Military bases, military materiel (e.g., planes, helicopters, tanks), arms production facilities, weapons storage sites, etc.</t>
  </si>
  <si>
    <t>Politician(s)</t>
  </si>
  <si>
    <t>Industrialist(s)</t>
  </si>
  <si>
    <t>Journalist(s)</t>
  </si>
  <si>
    <t>Defector(s)</t>
  </si>
  <si>
    <t>European politicians or Russian opposition figures.</t>
  </si>
  <si>
    <t>Russian military personnel who have defected.</t>
  </si>
  <si>
    <t>CEOs of weapons production companies.</t>
  </si>
  <si>
    <t>Apparent goal</t>
  </si>
  <si>
    <t>Contact:</t>
  </si>
  <si>
    <t>b.w.schuurman@fgga.leidenuniv.nl</t>
  </si>
  <si>
    <t>Dr. Bart Schuurman, Professor of Terrorism and Political Violence, Leiden University</t>
  </si>
  <si>
    <t>Version:</t>
  </si>
  <si>
    <t>Dataset repository</t>
  </si>
  <si>
    <t>https://doi.org/10.7910/DVN/TQ0FMQ</t>
  </si>
  <si>
    <r>
      <t xml:space="preserve">The 'IncidentYear' field records the year when a particular operation was carried out, or an ongoing activity begun. It </t>
    </r>
    <r>
      <rPr>
        <b/>
        <sz val="12"/>
        <color theme="1"/>
        <rFont val="Calibri"/>
        <family val="2"/>
        <scheme val="minor"/>
      </rPr>
      <t>does not</t>
    </r>
    <r>
      <rPr>
        <sz val="12"/>
        <color theme="1"/>
        <rFont val="Calibri"/>
        <family val="2"/>
        <scheme val="minor"/>
      </rPr>
      <t xml:space="preserve"> record the year of the publication in which the incident was reported.</t>
    </r>
  </si>
  <si>
    <t>Exaggerated instance of long-standing practice of aggressively crossing into territorial airspace, etc.</t>
  </si>
  <si>
    <t>Investigation cannot prove who was responsible, no official claims of Russian involvement.</t>
  </si>
  <si>
    <t>Shopping mall fire in Warsaw, Poland</t>
  </si>
  <si>
    <t>Investigation has not revealed clear links to Russia, may have been hobbyists pulling an extensive prank.</t>
  </si>
  <si>
    <t>Arson attack on Ukraine-linked business in Fuenlabrada, outskirts Madrid, linked to London attack</t>
  </si>
  <si>
    <t>No official allegations of Russian involvement, but included because it fits pattern with earlier arson attack against premises of the same Ukrainian business in London</t>
  </si>
  <si>
    <r>
      <t xml:space="preserve">In many cases, attribution is difficult. </t>
    </r>
    <r>
      <rPr>
        <b/>
        <sz val="12"/>
        <color theme="1"/>
        <rFont val="Calibri"/>
        <family val="2"/>
        <scheme val="minor"/>
      </rPr>
      <t>We have erred on the side of caution</t>
    </r>
    <r>
      <rPr>
        <sz val="12"/>
        <color theme="1"/>
        <rFont val="Calibri"/>
        <family val="2"/>
        <scheme val="minor"/>
      </rPr>
      <t xml:space="preserve">, leaving out numerous incidents and suspicious accidents where suspicion of Russian involvement was too tenous (see </t>
    </r>
    <r>
      <rPr>
        <b/>
        <sz val="12"/>
        <color theme="1"/>
        <rFont val="Calibri"/>
        <family val="2"/>
        <scheme val="minor"/>
      </rPr>
      <t>Excluded</t>
    </r>
    <r>
      <rPr>
        <sz val="12"/>
        <color theme="1"/>
        <rFont val="Calibri"/>
        <family val="2"/>
        <scheme val="minor"/>
      </rPr>
      <t>).</t>
    </r>
  </si>
  <si>
    <t>Gas &amp; telecom cables Finland - Estonia damaged / NewNew Polar Bear incident</t>
  </si>
  <si>
    <t>Undersea cables between Finland &amp; Germany, Sweden &amp; Latvia cut, sabotage probable / Yi Peng 3 incident</t>
  </si>
  <si>
    <t>Chinese ship appears to have carried out sabotage on behest of / under pressure by Russian authorities</t>
  </si>
  <si>
    <t>Border-line case due to lack of authorities claiming probable Russian involvement. Included because it fits pattern of intrusions into water facilities in Sweden, Germany, Poland, France.</t>
  </si>
  <si>
    <t>Oil tanker Eagle S damages Estlink 2 power cable in Finish Gulf</t>
  </si>
  <si>
    <t>2024 Russian interference in Moldova's elections / drone incursions</t>
  </si>
  <si>
    <t>Does not appear to be related to invasion of Ukraine, rather part of broader Russian ambition of maintaining / increasing control over former Soviet states</t>
  </si>
  <si>
    <t>2022 drone spionage of Ukrainian troops being trained in Germany</t>
  </si>
  <si>
    <t>See this link for multiple similar events.</t>
  </si>
  <si>
    <t>No clear link to sabotage (prep) or other physical measures; appears to be more in line with classical spionage for intelligence gathering.</t>
  </si>
  <si>
    <t>No clear link to Russia. Some suggestion of involvement climate activists.</t>
  </si>
  <si>
    <t>Nov 2023 Brunsbüttel LNG pipeline sabotage</t>
  </si>
  <si>
    <t>Holocaust memorial in Paris vandalized with paint, pro-Palestinian red hands painted on memorial, police suspect Russia</t>
  </si>
  <si>
    <t>Multiple 'caution, balcony can collapse' sprayed on Paris balconies, playing on fear of such an incident during Olympics</t>
  </si>
  <si>
    <t>1.000+ fake bomb threats emailed to schools, banks in Slovakia</t>
  </si>
  <si>
    <t>Slovakia</t>
  </si>
  <si>
    <t>Sabotage not terrorism, as unclear whether this was intended to go on a plane or not.</t>
  </si>
  <si>
    <t>Explosive / inflammable parcel ignites in courier truck / storage site near Warsaw. Linked to perpetrators of DHL attacks</t>
  </si>
  <si>
    <t>Colombian national engaged in sabotage preparations in Romania, targets appear to be economic / infrastructure related</t>
  </si>
  <si>
    <t>2024 plot to kidnap / kill Russian opposition journalist Roman Dobrokhotov</t>
  </si>
  <si>
    <t>No clear link to invasion of Ukraine, target suggest this is part of wider / longer-running campaign by Moscow to silence / kill opposition (journalists).</t>
  </si>
  <si>
    <t>Drone incurions Koge, Denmark, 9-10 January</t>
  </si>
  <si>
    <t>Police claim no evidence of military surveillance as goal</t>
  </si>
  <si>
    <t>Another attempted break-in into watertreatment plant Cologne airforce base</t>
  </si>
  <si>
    <t>Case not publicly attributed to Russia, but fits pattern.</t>
  </si>
  <si>
    <t>Drones spotted over Neuburg an der Donau military base</t>
  </si>
  <si>
    <t>December 2024 drone incursions Ramstein airforce base, Rheinmetall facilities</t>
  </si>
  <si>
    <t>Drone overflights of industrial &amp; military sites in Germany, suspected sabotage prep (Brunsbruttel)</t>
  </si>
  <si>
    <t>Excluded after December 2024 report that investigation had not revealed espionage link</t>
  </si>
  <si>
    <t>No clear link to Russia, not clear that this was sabotage-prep rather than general surveillance.</t>
  </si>
  <si>
    <t>Ibid: seems uptick in drone incursions is clear, but link to Russia and to sabotage-prep as motive is too tenuous</t>
  </si>
  <si>
    <t>Option 15</t>
  </si>
  <si>
    <t>Cars vandalized with PUR-foam to implicate Russia-critical German Green Party ahead of elections, Schonefeld, Brandenburg</t>
  </si>
  <si>
    <t>Damage to C-Lion1 cable between Finland and Germany investigated as suspected sabotage</t>
  </si>
  <si>
    <t>Check for investigation progress</t>
  </si>
  <si>
    <t>February 25: authorities rule out sabotage. Appears to be ship called Vezhen involved</t>
  </si>
  <si>
    <t>Danish intelligence suspects Russian interference in March 2025 elections in Greenland</t>
  </si>
  <si>
    <t>Denmark</t>
  </si>
  <si>
    <t>Option 16</t>
  </si>
  <si>
    <t>ordered data by year and month</t>
  </si>
  <si>
    <t>France; Germany; Austria; Switzerland; Poland; Spain; United Kingdom; United States</t>
  </si>
  <si>
    <t>Austria</t>
  </si>
  <si>
    <t>Switzerland</t>
  </si>
  <si>
    <t>Internet / Social media / News</t>
  </si>
  <si>
    <t>Portal Kombat / Pravda network: websites disseminating pro-Russian content on war in Ukraine to Western audiences (ongoing)</t>
  </si>
  <si>
    <t>Fake news report on Poland mobilizing 200.000 men placed on polish national news agency - hack by Russians</t>
  </si>
  <si>
    <t>France blocks fake enlistment website for war in Ukraine, intended to fan fear of France joining the conflict</t>
  </si>
  <si>
    <t>April 2024, Czech news site is hacked and fake story placed about Ukrainians attempting to assassinate Slovak president</t>
  </si>
  <si>
    <t>No evidence or authority-based suggestion of Russian involvement, even though that seems likely</t>
  </si>
  <si>
    <t>Oil injected in water tank of Germany Navy ship 'Hessen', February 2025</t>
  </si>
  <si>
    <t>No (clear) sign of Russian involvement yet, see link.</t>
  </si>
  <si>
    <t>Idem</t>
  </si>
  <si>
    <t>Metal filings in engine of Germany Navy corvette 'Emden', late 2024</t>
  </si>
  <si>
    <t>Mine hunter of Germany Navy damaged while docked in the Tamsen dockyard in Rostock, sabotage suspected</t>
  </si>
  <si>
    <t>Sabotage of Gotland water supply, Sweden</t>
  </si>
  <si>
    <t>Case closed in April 2025 without clear sign of perpetrators. No public suspicion towards Russia. But does fit in pattern. Borderline case.</t>
  </si>
  <si>
    <t>Russia-linked Telegram channels offering to pay for attacks on Mosques in UK, February 2025</t>
  </si>
  <si>
    <t>No official confirmation, report comes from an NGO, not a government source.</t>
  </si>
  <si>
    <t>Germany; France; Italy</t>
  </si>
  <si>
    <t>Russia-linked network active on X / Twitter 'around time of European elections' promoted French &amp; German radical-right parties. Also active in Italy. Trollrensics report.</t>
  </si>
  <si>
    <t>July 2024, AIVD and FBI and partners disrupt Russia-linked digital election interference targeting US</t>
  </si>
  <si>
    <t>Not an operation focused on Europe.</t>
  </si>
  <si>
    <t>March 2025: drone overflight of European Joint Research Centre in Ispra, Italy.</t>
  </si>
  <si>
    <t>Investigation indicates drone of Russian origin, but no further detail or links to Russia. Also: espionage appeared to be goal rather than sabotage prep, so borderline in terms of whether it would fit the inclusion criteria of this dataset.</t>
  </si>
  <si>
    <t>Italy</t>
  </si>
  <si>
    <t>March 2025: extra confirmation.</t>
  </si>
  <si>
    <t>March 2025: German intel services see it as theoretical possibility that Russia was involved in increased number of terrorist attacks prior to 2025 German elections</t>
  </si>
  <si>
    <t>Only a theory, no evidence</t>
  </si>
  <si>
    <t>Russian embassy in Spain places video on X / Twitter purporting to show Spanish troops in Ukraine</t>
  </si>
  <si>
    <t>Sweden targeted by Russia-backed disinformation campaign to undermine its NATO membership, claims that Sweden supports burning Quran</t>
  </si>
  <si>
    <t>2022: #DeCrooMustGo hashtag used in Belgium, also by pro-Russian accounts / bots</t>
  </si>
  <si>
    <t>Seems like some pro-Russian accounts jumped on this hashtag rather than were its originators. Too little to go on.</t>
  </si>
  <si>
    <t>Storm-1516 / R-FBI online disinfo campaign targeting German elections of 2025</t>
  </si>
  <si>
    <t>Claim that Russia searched the web for perpetrator / location ahead of 2024 Mannheim stabbing attack, suggesting involvement</t>
  </si>
  <si>
    <t>BND voiced concerns over accuracy of method used to establish potential Russian link. No public claims by authorities so far. To be monitored.</t>
  </si>
  <si>
    <t>UK claimed no no evidence of foul play, though very odd incident to happen</t>
  </si>
  <si>
    <t>Early reports suggest very poor visibility and lack of lookouts may have played role.</t>
  </si>
  <si>
    <t>March 2025: Oil tanker Stena Immaculate carrying jet fuel hit by container ship Solong off British coast, master is Russian national</t>
  </si>
  <si>
    <t>April 2025: news of Russian spying on British Vanguard nuclear submarines</t>
  </si>
  <si>
    <t>Espionage is ongoing, not clearly enough related to war in Ukraine linked hybrid operations</t>
  </si>
  <si>
    <t>More details: https://www.tagesschau.de/investigativ/ndr-wdr/russland-sabotage-106.html?at_medium=tagesschau&amp;at_campaign=DeviceSharing&amp;at_content=SiteSharing</t>
  </si>
  <si>
    <t>Russians amplify 'bed bug' panic on social media, Paris, France, fall 2023</t>
  </si>
  <si>
    <t>Belarusian Stepan K. set fire to large department / DIY store in Warsaw, April 2024. Store belonged to OBI, German home improvement store. Separate from May 2024 Warsaw fire.</t>
  </si>
  <si>
    <t>Further details: https://notesfrompoland.com/2025/02/21/poland-jails-ukrainian-for-eight-years-for-preparing-sabotage-on-behalf-of-russia/</t>
  </si>
  <si>
    <t>Polish authorities arrest Polish, Ukrainian &amp; Belarusian citizens suspected of arson (attempts) in Gdansk, Gdynia &amp; Marki.</t>
  </si>
  <si>
    <t>See also: https://easternfrontier.eu/eastern-frontier/7,193611,31782457,russian-spy-and-saboteur-set-fire-to-a-hardware-store-in-warsaw.html?disableRedirects=true</t>
  </si>
  <si>
    <t>January 26, 2025 LVRTC cable between Sweden and Latvia damaged</t>
  </si>
  <si>
    <t>One source mentions the possibilty of an influence operation no other supporting articles</t>
  </si>
  <si>
    <t xml:space="preserve">February 2025: Lithuanian petition to ban Russian train transit in Lithuania possibly an influence operation </t>
  </si>
  <si>
    <t>Hundreds of bomb threats emailed to schools in the Latvia, Estonia, Lithuania. Messages in Russian. Lithuanian security service sees 'hostile states' behind it.</t>
  </si>
  <si>
    <t>Estonia; Latvia; Lithuania</t>
  </si>
  <si>
    <t>March 2025: explosion at Czech ammunition plant / warehouse Policske Strojirny ruled accident</t>
  </si>
  <si>
    <t>Totals</t>
  </si>
  <si>
    <t>The Netherlands</t>
  </si>
  <si>
    <t>MIVD report on 2024 cyberattack on critical infrastructure (type not stated), potentially as preparation for attempted sabotage. No damage, incursion prevented.</t>
  </si>
  <si>
    <t>Too few details to include?</t>
  </si>
  <si>
    <t>Pubic services</t>
  </si>
  <si>
    <t>Russian hacktivists tried to make voting for EU parliament difficult for Dutch citizens through DDoS attack against political parties' websites and public transportation companies in NL. Appears unsuccesful</t>
  </si>
  <si>
    <t>Is public transport the same as public service, or should it be its own category?</t>
  </si>
  <si>
    <t>Disinformation claim that Merz, Macron &amp; Starmer used cocaine while on train to Ukraine. Emerged on pro-Russian social media channels, taken up by Russian officials.</t>
  </si>
  <si>
    <t>Germany; United Kingdom; France</t>
  </si>
  <si>
    <t>May: three Ukrainian men arrested (2 in Germany, 1 in Switzerland), suspected of planning to send explosives from Germany to Ukraine (by air?), cause explosion in transit</t>
  </si>
  <si>
    <t>Assuming civil aviation for now. Should be checked as more information becomes available.</t>
  </si>
  <si>
    <t>Terrorism*</t>
  </si>
  <si>
    <t>Operation Doppelganger: Russian influence campaign that used faked websites (e.g., Der Spiegel, WaPo) to undermine Western support for Ukraine. Social Design Agency. Part of 'Comprehensive Counter Campaign'</t>
  </si>
  <si>
    <t>Germany; France; United Kingdom; Italy; United States; Ukraine; Latvia; Poland; The Netherlands</t>
  </si>
  <si>
    <t>See also: https://mpf.se/psychological-defence-agency/publications/archive/2025-05-15-beyond-operation-doppelganger-a-capability-assessment-of-the-social-design-agency</t>
  </si>
  <si>
    <t>Russian disinformation on social media attempts to undermine May 18 presidential elections in Poland. Also stokes anti-Ukrainian sentiment.</t>
  </si>
  <si>
    <t>See also: https://www.bbc.com/news/articles/clygv2dj78zo</t>
  </si>
  <si>
    <t>May 2025: revealed that Russian 'Laundry Bear' group behind hack of Dutch police in 2024</t>
  </si>
  <si>
    <t>Pure cyber op. No signs of preps for sabotage linked to this hack.</t>
  </si>
  <si>
    <t>DisposableAgentsInvolved</t>
  </si>
  <si>
    <t>DisposableAgentsInvolved category added. First step in identifying who these individuals are.</t>
  </si>
  <si>
    <t>May 2025: two power cuts in Cannes area, France. Sabotage suspected, Anarchist groups claim responsibility</t>
  </si>
  <si>
    <t>Not included, because the operaiton was not Russian led but a local initiative.</t>
  </si>
  <si>
    <t>Latvian Aivo Peterson &amp; co allegedly worked to create 'civil defense' unit to replace the army in event of power vacuum, sought contact with Ru intel for guidance. Began November 2022, arrested 2023.</t>
  </si>
  <si>
    <t>May 2022 fire in Piraeus, Greece, causes loss of tons of clothing aid for Ukraine</t>
  </si>
  <si>
    <t>Cause stated as under investigaiton, no update found, no allegations of Russian involvement.</t>
  </si>
  <si>
    <t>Politician(s) / Official(s)</t>
  </si>
  <si>
    <t>Easter 2025 sabotage to telecom masts / infrastructure in Sweden along E22 highway. 30 instances.</t>
  </si>
  <si>
    <t>No clear link to Russia, investigators seems to float option it could also be anti-5G activists</t>
  </si>
  <si>
    <t>Polish citizen Wiktor Z. (28) detained in June 2025. Suspected of passing information on 'infrastructure critical to Poland's defense' to the Russians from February 2024 onwards.</t>
  </si>
  <si>
    <t>Six letter bombs sent to targets in Spain in Nov &amp; Dec. Targeted Prime Minister, US &amp; UKR embassies, defence ministry, arms manufacturer. Russian Imperial Movement suspected, acting on behalf of Ru intel</t>
  </si>
  <si>
    <t>Cars were in a public space, going with that to avoid making too many target categories.</t>
  </si>
  <si>
    <t>Although Russia not directly named, link to hostile state made in public and fits pattern. Bomb threats seen as threat of violence against civilians, hence treated as terrorism.</t>
  </si>
  <si>
    <t>For now, schools made part of 'public space' category to avoid too-finegrained disaggregation.</t>
  </si>
  <si>
    <t>Public space: Shopping centre / Memorial / Landmark / Company / School</t>
  </si>
  <si>
    <t>Public space</t>
  </si>
  <si>
    <t>Goal seems to be to signal intent / capability. But that could be argued for all of these operations. Going with undermining support for Ukraine as overarching motivation.</t>
  </si>
  <si>
    <t>March 2025 stabbing attack in Amsterdam by Ukrainian deserter Roman D.</t>
  </si>
  <si>
    <t>No apparent links to Russia.</t>
  </si>
  <si>
    <t>ExIncidentYear</t>
  </si>
  <si>
    <t>ExIncidentMonth</t>
  </si>
  <si>
    <t>CountriesAffected</t>
  </si>
  <si>
    <t>Arms plant fires in Wales, BAE systems Glascoed, April 2024.</t>
  </si>
  <si>
    <t>Incident appears to be still under investigation.</t>
  </si>
  <si>
    <t>Thousand of cyber attacks against EU government websites, transportation infrastructure, etc. Covers 2024</t>
  </si>
  <si>
    <t>Finland; Sweden</t>
  </si>
  <si>
    <t>Appears non-sabotage related.</t>
  </si>
  <si>
    <t>Long-distance internet cables cut around Paris. Perpetrators remain unknown</t>
  </si>
  <si>
    <t>Attack of some sophistication, could point to state actor. But anti-5G / environmentalists / etc. cannot be ruled out.</t>
  </si>
  <si>
    <t>October 2022 internet cable sabotage near Marseille, France.</t>
  </si>
  <si>
    <t>Very little info online. Russia mentioned as potential perpetrator. One of several such cuts taking place in same time period. But no clear evidence .</t>
  </si>
  <si>
    <t>Multiple acts of sabotage to fibre-optic (internet) cables across France, simultaneously with railway sabotage</t>
  </si>
  <si>
    <t>Investigation appears ongoing.</t>
  </si>
  <si>
    <t>Idem. News reporting does not make clear suggestion of Russian involvement. Could also be far-left, perhaps with Russia behind them.</t>
  </si>
  <si>
    <t>Subsea cables Faroe-Shetland and Shetland - mainland Scotland cut. BBC labels it an accident, other sources unsure.</t>
  </si>
  <si>
    <t>Without clearer links to Russia, has to remain 'excluded' for now.</t>
  </si>
  <si>
    <t>Swedish train derailment December 2023 - likely due to climate change, not sabotage</t>
  </si>
  <si>
    <t>Swedish train derailment February 2024 - likely due to climate change, not sabotage</t>
  </si>
  <si>
    <t>Moldova</t>
  </si>
  <si>
    <t>Various</t>
  </si>
  <si>
    <t>Drones spotted above Manching airbase, Ingolstadt, Bavaria, early 2025</t>
  </si>
  <si>
    <t>Sweden;Latvia</t>
  </si>
  <si>
    <t>United States</t>
  </si>
  <si>
    <t>Greece</t>
  </si>
  <si>
    <t>Excluded cases organized by year &amp; month of alleged incident, country.</t>
  </si>
  <si>
    <t>Excluded incidents</t>
  </si>
  <si>
    <t>Excluded Ratio</t>
  </si>
  <si>
    <t>`</t>
  </si>
  <si>
    <t>Russian agents provocateur use two demonstrations in Paris to spread anti-Ukrainian propaganda. Presenting a protest about something else entirely as being against Western support for Ukraine.</t>
  </si>
  <si>
    <t>Grouped these demonstrations by country / year. Not listing each demonstration individually.</t>
  </si>
  <si>
    <t xml:space="preserve">Monthly 'Peace demonstations' on the Dam in Amsterdam. Monthly since approximately the Russian invasion of Ukraine in 2022. Organized by Dutch peace activists, but supported &amp; financed by Russian organizations. </t>
  </si>
  <si>
    <t>Appear to have begun in 2023 and to be ongoing in 2025. See: https://kyivindependent.com/who-is-behind-pro-russian-stop-zelensky-demonstrations-in-europe/</t>
  </si>
  <si>
    <t>Russian agents provocateur use demonstrations across Europe to spread anti-Ukrainian propaganda. Presenting a protest about something else entirely as being against Western support for Ukraine.</t>
  </si>
  <si>
    <t>The Netherlands; Belgium; France; Spain</t>
  </si>
  <si>
    <t>Pro-Russian rallies / protest / vehicle parades in various European cities. Various experts suggest likely (partly) result of top-down pressure on Russian expats.</t>
  </si>
  <si>
    <t>Germany; Greece; Ireland; Cyprus</t>
  </si>
  <si>
    <t>Children of war campaign (Kinder des Krieges). Kremlin-backed and AFD supported campaign to sway public opinion against supporting Ukraine.</t>
  </si>
  <si>
    <t>We included cases when they a) were linked to Russia by the authorities / politicians, and / or b) appeared to fit in a pattern of similar attacks / events that had been 'officially' suspected of being linked to Russia, and / or c) where based on journalistic investigations that had uncovered hard evidence of a link to Russia (e.g., status reports to handlers, details of financial transactions, etc.)</t>
  </si>
  <si>
    <t>Ongoing, potentially worsening. See also: https://tvpworld.com/87331551/poland-blames-russian-sabotage-for-gps-disruptions-over-baltic-sea</t>
  </si>
  <si>
    <t>GPS jamming &amp; spoofing over Baltic Sea. As well as near Black Sea. Appears to be permanent.</t>
  </si>
  <si>
    <t>Ukrainian man in Amsterdam unwittingly recruited via Telegram to send package via DHL, appears to be part of test-run for attacks using airlines. Linked to other DHL attacks.</t>
  </si>
  <si>
    <t>A -so far- rare case of agents who appear to have been unwittingly used for Russia hybrid ops.</t>
  </si>
  <si>
    <t>4 Bundeswehr (Army / military) trucks destroyed in fire. Arson suspected, claimed on Pro-Russian telegram channels.</t>
  </si>
  <si>
    <t>Claims may be opportunistic. No official claim of link to Russia. Two similar army truck arsons linked to / claimed by far-left group Agenda2029.</t>
  </si>
  <si>
    <t>Following Ru invasion, Marsalek-led Bulgarian spyring began a disinfo operation in Austria and Germany with stickers and graffiti.</t>
  </si>
  <si>
    <t>Austria; Germany</t>
  </si>
  <si>
    <t>One of several operations conducted by the Bulgarian spy ring that was arrested in the UK in early 2023. Start and end-date not certain, but began shortly after invasion of Ukraine and seem to have ended by September, when new targets came into view.</t>
  </si>
  <si>
    <t>Re-organize multi-year operations so they don't count double?</t>
  </si>
  <si>
    <t>United Kingdom; Germany</t>
  </si>
  <si>
    <t>Plot to use IMSI catchers to identify and locate Ukrainian soldiers training to operate Patriot missile batteries, to use as targeting information. Base being targeted was Patch Barracks near Stuttgart. Plot developed in UK.</t>
  </si>
  <si>
    <t>Arson of two restaurants in Estonia. One was a supermarket / restaurant in Osula, the next day the 'Slava Ukraini' restaurant in Tallinn.</t>
  </si>
  <si>
    <t>Descecration of Sinimäed and Narva-Jõesuu memorial sites Estonia</t>
  </si>
  <si>
    <t>Hungary / Ukraine</t>
  </si>
  <si>
    <t>Russian attempt to incite ethnic Hungarians in Ukrainian Transcarpathia to engage in revolt/terrorism</t>
  </si>
  <si>
    <t>Operation aimed against Ukraine, not Hungary (ie, outside of scope of this project which looks at Russian ops against Europe beyond Ukraine).</t>
  </si>
  <si>
    <t>Series of fires / arsons (Siemianowice Śląskie, in southern Poland, production hall in Mińsk Mazowiecki, Zabki)</t>
  </si>
  <si>
    <t>Authorities don't actually link these to Russia (yet), but suggest they may be sabotage given 2024 arsons that were indeed orchestrated by Russia.</t>
  </si>
  <si>
    <t>Monument to Lithuanian partisan leader Adolfas Ramanauskas-Vanagas in Merkiné defaced with paint</t>
  </si>
  <si>
    <t>Assassination attempt / assault on Leonid Volkov</t>
  </si>
  <si>
    <t>Excluded because this appears part of longer-standing Russian attacks on political opposition abroad, rather than something directly linked to the war in Ukraine or Europe's support for Ukraine</t>
  </si>
  <si>
    <t>Excluded the Leonid Volkov assault/assassination attempt because this appears part of longer-standing Russian attacks on political opposition abroad, rather than something directly linked to the war in Ukraine or Europe's support for Ukraine</t>
  </si>
  <si>
    <t>Here source claims unrelated to Ukraine</t>
  </si>
  <si>
    <t>Included two 'sticker' operations that only came to light through in-depth reporting on the Red Hands in paris case (2024). No references found to this elsewhere, but seems correct to include this nonetheless given detail of reporting. See: https://www.mediapart.fr/en/journal/international/090125/operation-red-hands-france-neo-nazi-agents-provocateurs-kremlins-pay</t>
  </si>
  <si>
    <t>1000 stickers calling for an end to the war in Ukraine placed across Paris</t>
  </si>
  <si>
    <t>Only mentioned in in-depth journalistic reporting on the 'red hands' case. See link</t>
  </si>
  <si>
    <t>Defacing the tombstone of Ukrainian politician Stepan Bandera in Munich</t>
  </si>
  <si>
    <t>See also: https://www.ukrainianworldcongress.org/russian-disinformation-in-action-banderas-grave-vandalized-with-provocative-writing/</t>
  </si>
  <si>
    <t>Placing stickers near hotels in Zurich, ahead of a peace conference on Ukraine</t>
  </si>
  <si>
    <t>Coffin graffiti / stencils appear in Paris. Likely linked to actual coffins placed near Eiffel tower</t>
  </si>
  <si>
    <t>See also: https://www.rferl.org/a/ukraine-russia-paris-coffin-graffiti-moldova/32984608.html</t>
  </si>
  <si>
    <t>Conducted by Colombian national de la Cruz</t>
  </si>
  <si>
    <t>12 injured after contact with powder in DHL depot Langenzenn</t>
  </si>
  <si>
    <t>No clear link with Russia</t>
  </si>
  <si>
    <t>Hundreds of schools forced to close due to fake bomb threats per email. Head Czech secret service blames Russia</t>
  </si>
  <si>
    <t>Artem K. offered services to Belarus</t>
  </si>
  <si>
    <t>Not (technically) a Russian hybrid OP.</t>
  </si>
  <si>
    <t>Russia suspected of tainting / polluting oil with chlorine. Tainted oil shipped to Romania, also reached Czechia and Italy</t>
  </si>
  <si>
    <t>Romania; Italy; Czechia</t>
  </si>
  <si>
    <t>Russian drones spy on German weapons' delivery routes to Ukraine, suspected sabotage prep. No specific date given in NYT piece, assumed to be an ongoing activity.</t>
  </si>
  <si>
    <t>See also: https://www.wiwo.de/politik/deutschland/geheimdienste-putins-drohnen-spionage-mitten-in-deutschland/100151058.html</t>
  </si>
  <si>
    <t>Cyber sabotage of a Norwegian dam used for fishing, affecting water flows</t>
  </si>
  <si>
    <t>Economic infrastructure</t>
  </si>
  <si>
    <t>Possible sabotage attempt Aviano airbase, Italy. Investigators warn of plot to use forest fires to cause disruption. One woman observed filming &amp; photographing area.</t>
  </si>
  <si>
    <t>Too little information to include case in the disposable agents dataset for now (Aug 2025).</t>
  </si>
  <si>
    <t>Parcel bomb plot, Poland, July 2024</t>
  </si>
  <si>
    <t>Addressee of the parcel containing the bomb not disclosed, hence unable to ascertain goal &amp; target type. See also: https://www.gov.pl/web/prokuratura-krajowa/akt-oskarzenia-o-wspoludzial-w-sprowadzeniu-bezposredniego-niebezpieczenstwa-eksplozji-materialow-wybuchowych2?</t>
  </si>
  <si>
    <t>Two Belarussians arrested for flying drone over presidential palace</t>
  </si>
  <si>
    <t>Unclear what motives were. As of yet no sign that this was sabotage prep.</t>
  </si>
  <si>
    <t>Pigs' heads left outside of Paris mosques. French intelligence suspect Russian influence op</t>
  </si>
  <si>
    <t>Dirsupt (military) aid category may need to be renamed to include undermining support for such aid, or split in two categories (undermine support, disrupt aid). Maybe also include category; 'fuel polarization'?</t>
  </si>
  <si>
    <t>EU President Von der Leyen's plan subject to GPS jamming</t>
  </si>
  <si>
    <t>Unclear whether this plane was targeted specifically, or fits in already accounted-for GPS jamming activities that affect large number of aircraft.</t>
  </si>
  <si>
    <t>Arson in Leroy Merlin DIY / home improvement store in Lodz, Poland. Perpetrator linked to 2024 DHL plot</t>
  </si>
  <si>
    <t>Revealed in September 2025 Vsquare reporting on 2024 DHL plot.</t>
  </si>
  <si>
    <t>Three arrested on suspicion of spying for Russia</t>
  </si>
  <si>
    <t>Spying, not sabotage/influence/etc. ops.</t>
  </si>
  <si>
    <t>Descecration of Alfons Rebane memorial plaque in Mustla</t>
  </si>
  <si>
    <t>The suspected arson at Diehl Metall factory used for weapons production as been excluded. In December 2024, the prosecutor handling the case ruled out sabotage.</t>
  </si>
  <si>
    <t>Fire in Diehl Metall plant ruled out as sabotage-related</t>
  </si>
  <si>
    <t>Arson attempt construction warehouse / supply depot Warsaw 1/2</t>
  </si>
  <si>
    <t>Arson attempt construction warehouse / supply depot Radom 2/2</t>
  </si>
  <si>
    <t>Two Spanish nationals traveled to Lithuania in September to set fire to TVC Solutions, company in Siauliai. One is also Russian national. Failed, fled to Latvia.</t>
  </si>
  <si>
    <t>Drones fly over several Danish military sites night of Friday 26 September, including Karup. Appears part of wave of drone incursions into Danish airspace, linked tangentially by authorities to Russia. Fits established pattern. Base shares runway with civilian airport, hence two target types.</t>
  </si>
  <si>
    <t>Drones spotted near airports of Aalborg, Billund, Esjberg, Sonderborg, and Skrydstrup on Wednesday night 24 September</t>
  </si>
  <si>
    <t>Links to Russia strengthend by discovery of Russian landing ship close to Danish shores:https://www.france24.com/en/europe/20250926-denmark-drone-incursions-all-signs-point-to-russia-suspect-ships. See also: https://www.forsvaret.dk/en/news/2025/dronesoverdenmark/</t>
  </si>
  <si>
    <t>Links to Russia strengthend by discovery of Russian landing ship close to Danish shores: https://www.france24.com/en/europe/20250926-denmark-drone-incursions-all-signs-point-to-russia-suspect-ships</t>
  </si>
  <si>
    <t>Two Dutch teens arrested in September 25 for using wifi sniffer in August 2025 in The Hague, appear to have been tasked by pro-Russia hacker on Telegram. Possible prep for (cyber) sabotage / intrusion?</t>
  </si>
  <si>
    <t>Case updates to be followed. If purely espionage, consider removing.</t>
  </si>
  <si>
    <t>UK; Belgium</t>
  </si>
  <si>
    <t xml:space="preserve">Ransomware attack that crippled Heathrow and Brussels airport may have been caused by 'Everest Group', who some source allege to be Russian/Russian speaking. </t>
  </si>
  <si>
    <t>As of 24 October 2025; no official claims of Everest Group involvement or links to Russia. Leaving excluded for now.</t>
  </si>
  <si>
    <t>Suspected sabotage of signal box (stellwerk) on railway line between Cologne and Dusseldorf</t>
  </si>
  <si>
    <t>As of 24 October, no update to suggest who was responsible. Leaving excluded for now.</t>
  </si>
  <si>
    <t>Norway;Denmark; North Sea</t>
  </si>
  <si>
    <t>Multiple other drone sightings, e.g. Orland airbase Norway, Sleipner gas field</t>
  </si>
  <si>
    <t>Links to Russia for the more widely-reported drone sightings in September are already circumstantial. Leaving these apparently even less well-covered / less plausibly linked to Russia incidents outside of analysis for now.</t>
  </si>
  <si>
    <t>Drones near Bardufoss and Bronnoysund airports in Norway, 28 September. Lead to flight disruptions. European Commission believes Russia is responsible for spate of drone incidents</t>
  </si>
  <si>
    <t>Disruption</t>
  </si>
  <si>
    <t>Intimidate politician / journalist</t>
  </si>
  <si>
    <t>Arson</t>
  </si>
  <si>
    <t>Arson*</t>
  </si>
  <si>
    <r>
      <t xml:space="preserve">The event data anly covers incidents </t>
    </r>
    <r>
      <rPr>
        <b/>
        <sz val="12"/>
        <color theme="1"/>
        <rFont val="Calibri"/>
        <family val="2"/>
        <scheme val="minor"/>
      </rPr>
      <t xml:space="preserve">initiated </t>
    </r>
    <r>
      <rPr>
        <sz val="12"/>
        <color theme="1"/>
        <rFont val="Calibri"/>
        <family val="2"/>
        <scheme val="minor"/>
      </rPr>
      <t xml:space="preserve">in the time period </t>
    </r>
    <r>
      <rPr>
        <b/>
        <sz val="12"/>
        <color theme="1"/>
        <rFont val="Calibri"/>
        <family val="2"/>
        <scheme val="minor"/>
      </rPr>
      <t>since</t>
    </r>
    <r>
      <rPr>
        <sz val="12"/>
        <color theme="1"/>
        <rFont val="Calibri"/>
        <family val="2"/>
        <scheme val="minor"/>
      </rPr>
      <t xml:space="preserve"> the Russian invasion of Ukraine (February 2022).</t>
    </r>
  </si>
  <si>
    <t>Only events ostensibly linked to the 2022 Russian invasion of Ukraine are recorded. This means that incidents such as the intimidation of Russian opposition members abroad, or espionage that cannot clearly be linked specifically to the invasion of Ukraine (e.g., espionage to prepare for sabotage against a country supporting Ukraine), are excluded.</t>
  </si>
  <si>
    <t>(Attempted) disruption of (public) services, such as the operation of airports, without physical destruction of said services as would often be the case for sabotage.</t>
  </si>
  <si>
    <t>(Attempted) desctruction of property through arson.</t>
  </si>
  <si>
    <t>Kill politician / head of state</t>
  </si>
  <si>
    <t>(Attempted) intimidation of politician(s) or journalist(s).</t>
  </si>
  <si>
    <t>Vandalism with green paint at holocaust memorial, synagogues and restaurant in Paris. Three Serbian suspects involved.</t>
  </si>
  <si>
    <t>Concrete skeletons with inscriptions left at Berlin's Brandenburg gate, appears antisemtic act perpetrated by Serbian nationals acting on behalf of Russia. Occurred sometime between April and September 2025</t>
  </si>
  <si>
    <t>Multiple drones sighted over German province of Schleswig-Holstein, ostensibly scouting critical infrastructure like a powerplant, military industrial sites, a hospital and seat of government</t>
  </si>
  <si>
    <t>Preparation for potential sabotage</t>
  </si>
  <si>
    <t>Reconnaissance</t>
  </si>
  <si>
    <t>Gathering of information on critical infrastructure, potentially as preparation for sabotage.</t>
  </si>
  <si>
    <t>Where the goal appears to be gathering information that can be used at a later date to carry out sabotage operations (e.g., using drones to map critical infrastructure).</t>
  </si>
  <si>
    <t>Plot carried on until early 2023 but recorded in 2022 to avoid double-counting. One of several operations conducted by the Bulgarian spy ring that was arrested in the UK in early 2023.</t>
  </si>
  <si>
    <t>15 drones spotted over Elsenborn military base in Belgium. Belgian defense minister implicitly links incident to Russia. Fits with pattern of sudden drone sightings in other countries, hence included</t>
  </si>
  <si>
    <t>Event category set to unknown as not clear what the intention was; gather info, cause disruption?</t>
  </si>
  <si>
    <t>Poland; Romania</t>
  </si>
  <si>
    <t>Needs further investigation, particularly people involved.</t>
  </si>
  <si>
    <t>Polish authorities arrest 8 people on 21 October, with 3 of those individuals linked to new plot to send explosive / incendiary parcels through Poland and Romania to Ukraine. One is Ukr cit, 21yrs old, Danylo H.</t>
  </si>
  <si>
    <t>AfD accused by interior minister for Thuringen of spying for Russia using parliamentary inquiries</t>
  </si>
  <si>
    <t>Night 28-29 October: multiple drones spotted above military base near Marche-en-Fammene in Belgium, HQ Belgian army. Base was scouted on Saturday 25 October as well by drones. Defence minister hints at recon.</t>
  </si>
  <si>
    <t>Increasing drone overflights of Herstal, arms manufacturer in Belgium. Appears part of (largely) Russia-linked drone overflights in fall 2025.</t>
  </si>
  <si>
    <t>Drones spotted three days in a row 1-3 November over Kleine Brogel airforce base in Belgium. Recording as one incident to avoid flooding dataset with drone sightings tenously linked to Russia.</t>
  </si>
  <si>
    <t>See also: https://nos.nl/artikel/2588792-drones-gezien-bij-militaire-basis-in-belgie AND: https://nos.nl/artikel/2588988-opnieuw-drones-gezien-bij-belgische-luchtmachtbasis-derde-keer-dit-weekend</t>
  </si>
  <si>
    <t xml:space="preserve">Potential drone sighting over Bremen airport </t>
  </si>
  <si>
    <t>Seems too 'potential'.</t>
  </si>
  <si>
    <t>Potential drone sighting over Berlin airport</t>
  </si>
  <si>
    <t>Idem.</t>
  </si>
  <si>
    <t>Drone sighting Palma de Mallorca airport</t>
  </si>
  <si>
    <t>Too unclear whether this is part of Russia-linked drone wave. Geographical outlier and no conclusive reporting providing such a link.</t>
  </si>
  <si>
    <t>Unclear if related specifically to Russian invasion Ukraine. See also: https://nos.nl/artikel/2589346-duitse-partijen-verdenken-afd-openlijk-van-spionage-voor-rusland</t>
  </si>
  <si>
    <t>See this article for evidence of Belgian suspicion Russian involvemenet in the drone campaign: https://www.vrt.be/vrtnws/nl/2025/11/05/drones-belgisch-luchtruim-zit-rusland-er-achter-poetin-vladimir/</t>
  </si>
  <si>
    <t>Drone sightings shut down civilian air traffic at Brussels Airport, Bierset (near Liege), and Goteborg-Landvetter in Sweden. Also drones sighted near Belgian nuclear research facility and Florennes air base.</t>
  </si>
  <si>
    <t>Belgium; Sweden</t>
  </si>
  <si>
    <t>Reconnaisance</t>
  </si>
  <si>
    <t>Energy / Communications infrastructure</t>
  </si>
  <si>
    <t>Drones spotted near Copenhagen airport lead to shut downs, Monday 22 September - 23 September</t>
  </si>
  <si>
    <t>Drones spotted near Oslo airport lead to shut downs, Monday 22 September - 23 September</t>
  </si>
  <si>
    <t>Removed because in early November, Norwegian police closed the investigation due to lack of evidence that drones had or had not been sighted.</t>
  </si>
  <si>
    <t>OSINT community has plausible evidence that drone sighting in Denmarkt was actually a small plane. Airport did not have drone detection equipment yet that night. Excluded unless evidence hardens up</t>
  </si>
  <si>
    <t xml:space="preserve">Drones disrupt Dutch soldiers on excercise in Poland. </t>
  </si>
  <si>
    <t>Removed because remains too unclear whther this is linked to Russia. Some reports suggest drones coming from Belarussia.</t>
  </si>
  <si>
    <t>Polish railway sabotaged by explosion Saturday night 15 November near village of Mika, on section between Warsaw and Lublin. Overhead powerline damaged at other location.</t>
  </si>
  <si>
    <t>Drones sighted at Copenhagen airport, 22-23 September</t>
  </si>
  <si>
    <t>Removed because internal memo suggests air traffic controllers did not actually seen drones. Too much uncertainty to include.</t>
  </si>
  <si>
    <t>Drones spotted over Luik (BUT NOT BRUSSELS, see VRT NEWS) airport, 4-5 November. Multiple flight cancellations, delays.</t>
  </si>
  <si>
    <t>Brussels aiport / zaventem drone sighting debunked by VRT on 19 NOV: https://www.vrt.be/vrtnws/nl/2025/11/12/check-drones-zaventem-heverlee-melsbroek-helikopter-vliegtuig/</t>
  </si>
  <si>
    <t>Drones sighted at Brussels/Zaventem airport (4 NOV), military facilities Heverlee (5 NOV), airbase Melsbroek (6NOV) debunked</t>
  </si>
  <si>
    <t>May 2025 fires at homes linked to British PM Keir Starmer. Being investigated for potential link to Russia.</t>
  </si>
  <si>
    <t>https://www.vrt.be/vrtnws/en/2025/11/05/belgian-security-services-convinced-russia-is-behind-the-drone-i/</t>
  </si>
  <si>
    <t>Explanation</t>
  </si>
  <si>
    <t>Links to (tentative) official confirmation of link with Russia / hybrid warfare</t>
  </si>
  <si>
    <t>https://www.france24.com/en/europe/20250927-new-drones-sighted-over-denmark-s-largest-military-base</t>
  </si>
  <si>
    <t>Norway (confirmed by EU commission)</t>
  </si>
  <si>
    <t>https://nos.nl/artikel/2584475-vluchten-omgeleid-in-noorwegen-na-dronewaarnemingen</t>
  </si>
  <si>
    <t>Munchen airport closed Thursday 2 and Friday 3 October due to drone sightings.</t>
  </si>
  <si>
    <t>https://www.politico.eu/article/germany-friedrich-merz-suspects-kremlin-behind-drone-sightings-munich/</t>
  </si>
  <si>
    <t>https://nos.nl/artikel/2584784-verdachte-drones-vlogen-in-duitsland-over-parlementsgebouw-en-marinebasis</t>
  </si>
  <si>
    <t>Czech republic reports on 10 October increasing number of drones flying over military facilities. But no link made to Russia</t>
  </si>
  <si>
    <t>Ireland</t>
  </si>
  <si>
    <t>https://www.irishexaminer.com/news/arid-41763413.html</t>
  </si>
  <si>
    <t>CC BY 4.0</t>
  </si>
  <si>
    <r>
      <t xml:space="preserve">As investigative / OSINT reporting by Dutch newspaper </t>
    </r>
    <r>
      <rPr>
        <i/>
        <sz val="12"/>
        <color theme="1"/>
        <rFont val="Calibri"/>
        <family val="2"/>
        <scheme val="minor"/>
      </rPr>
      <t>Trouw</t>
    </r>
    <r>
      <rPr>
        <sz val="12"/>
        <color theme="1"/>
        <rFont val="Calibri"/>
        <family val="2"/>
        <scheme val="minor"/>
      </rPr>
      <t xml:space="preserve"> and </t>
    </r>
    <r>
      <rPr>
        <i/>
        <sz val="12"/>
        <color theme="1"/>
        <rFont val="Calibri"/>
        <family val="2"/>
        <scheme val="minor"/>
      </rPr>
      <t>dronewatch.nl</t>
    </r>
    <r>
      <rPr>
        <sz val="12"/>
        <color theme="1"/>
        <rFont val="Calibri"/>
        <family val="2"/>
        <scheme val="minor"/>
      </rPr>
      <t xml:space="preserve"> suggest, of the 60+ drone sightings in Europe between September and December 2025, the vast majority are unconfirmed, and a growing number seem to be based on faulty observations or even 'drone panic'. I have kept only those incidents where authorities believe there is a strong case for suspecting Russian involvement; several sightings in Belgium, Denmark, Norway, and Ireland. I would not be surprised if the majority of these 'confirmed' incidents are also going to be debunked, as has already happened with some in Belgium (https://www.vrt.be/vrtnws/nl/2025/11/12/check-drones-zaventem-heverlee-melsbroek-helikopter-vliegtuig/). But this approach seems to me a defensible median between accepting all sightings as having a link to Russia and saying none of them do. The latter position seems unlikely to me, even if there are -to my mind- elements of a 'drone panic' in the suddenly very large number of sightings but very limited degree of confirmatory evidence (e.g., clear photos). For more details, see: https://www.dronewatch.nl/2025/11/28/61-europese-dronewaarnemingen-geanalyseerd-dit-weten-we-nu/.</t>
    </r>
  </si>
  <si>
    <t>Netherlands</t>
  </si>
  <si>
    <t>Drone sightings / attempted shoot downs Volkel air base</t>
  </si>
  <si>
    <t>Evidence of drones actually being there, and of Russian operators, lacking.</t>
  </si>
  <si>
    <t>Russian national suspect in case of placing pro-Russian posters on Arc de Triomphe, Paris. Linked to other suspects invovled with SOS Donbass, accused of economic espionage and other offenses</t>
  </si>
  <si>
    <t>Four 'military style' drones attempt to interdict flight path of jet carrying Ukrainian president Zelensky on visit to Ireland, 4 December 2025.</t>
  </si>
  <si>
    <t>Disruption chosen as event category based on Irish law enforcement believing this likely goal of the drones: https://tvpworld.com/90380067/hybrid-attack-military-drones-trailed-ukraines-zelenskyys-plane-in-dublin</t>
  </si>
  <si>
    <t>Increased use of high-altitude balloons to disrupt air traffic in Lithuania. Ostensibly used by smugglers, but authorities say increased frequency and targeting of balloons towards airport makes this hybrid attack</t>
  </si>
  <si>
    <t>Poland; Lithuania; Germany</t>
  </si>
  <si>
    <t>Wladyslaw D. tasked by GRU to dig up cans w. explosives, drone parts, in Lithuanian cemetery, leaving items in Poland, Germany. Intent unclear, but seems likely sabotage (or terrorism) prep.</t>
  </si>
  <si>
    <t>November 2024 (3 or 4), hacking group CARR (under GRU command) broke into childrens' water park / fountain somewhere in NL, trying to adjust settings (temp, chloride concentration).</t>
  </si>
  <si>
    <t>Four tunnels discovered leading from Belarus across Polish border. Used to smuggle migrants into country illegally, thought part of ongoing hybrid war campaign to use illegal migration to destabilize Poland / EU</t>
  </si>
  <si>
    <t>See also: https://www.reddit.com/r/TrendoraX/comments/1oabe0j/smugglers_dig_tunnel_under_polandbelarus_border/; https://nos.nl/artikel/2594288-opnieuw-migrantentunnel-tussen-polen-en-belarus-ontdekt-vierde-dit-jaar</t>
  </si>
  <si>
    <t>Drones over Immelmann barracks, Germany</t>
  </si>
  <si>
    <t>Consider schema developed in article under link.</t>
  </si>
  <si>
    <t>Russian hackers (Z-Pentest) gained entry into systems of Danish water treatment plant Tureby Alkestrup, blowing up pipes by increasing water pressure, leaving ca 50 local households without water</t>
  </si>
  <si>
    <t>See also: https://www.thelocal.dk/20251219/denmark-blames-cyberattacks-on-groups-tied-to-russian-state</t>
  </si>
  <si>
    <t>Election interference by cyber (DDOS?) attack against websites linked to Danish political parties</t>
  </si>
  <si>
    <t>No clear physical effect or disinfo campaign</t>
  </si>
  <si>
    <t>ToDo 8 January 2026</t>
  </si>
  <si>
    <t>Shadowfleet ship under flag of Saint Vincent and the Grenadines detained by Finland on suspicion of damaging an undersea cable, 31 December / Elisa cable incident</t>
  </si>
  <si>
    <t>Maurits Huijbens, Dion Jordens, and Stijn Willem van 't Land assisted with data collection and validation. This project was supported by subsidy #3985535, awarded by the Dutch Minstry of Justice and Security in June 2022.</t>
  </si>
  <si>
    <t>Apparently the flow of migrants stopped after Finland closed its border with Russia at the end of 2023: https://www.reuters.com/world/europe/finnish-government-seeks-extend-ban-migrants-seeking-asylum-russia-border-2025-03-27/</t>
  </si>
  <si>
    <t>May 2024 reporting cites security sources saying the cache was likely prepared 12 to 18 months ago. Taking average of 15 months as starting point, i.e. January 2023.</t>
  </si>
  <si>
    <t>Voice of Europe, cash payments to anti-establishment politicians, Russian attempt to influence EU Parliament elections. Shut down in March 2024.</t>
  </si>
  <si>
    <t>See Wiki for details on period of operation: https://en.wikipedia.org/wiki/Voice_of_Europe#:~:text=The%20organization%20allegedly%20funneled%20up,candidates%20in%20European%20Parliament%20elections.</t>
  </si>
  <si>
    <t>See this source for timing the start of this operation to at least January 2023: https://www.pap.pl/aktualnosci/ekspert-ludzie-czasem-nawet-nie-wiedza-ze-dzialaja-na-zlecenie-rosjan</t>
  </si>
  <si>
    <t>Sending illegal immigrants towards Finland. Coded as 1 month incident as unclear whether this persisted, see also link at end of entry.</t>
  </si>
  <si>
    <t>https://www.reuters.com/world/europe/finnish-government-seeks-extend-ban-migrants-seeking-asylum-russia-border-2025-03-27/</t>
  </si>
  <si>
    <t>Sending illegal immigrants towards Latvia: through Belarus. Appears to have been a peak in these months that was likely orchestrated.</t>
  </si>
  <si>
    <t>Sending illegal immigrants towards Estonia. No reporting to suggest this particular spike persisted for very long.</t>
  </si>
  <si>
    <t>Portal Kombat / Pravda network: websites disseminating pro-Russian content on war in Ukraine to Western audiences (ongoing; manual check on pravda-fr.com)</t>
  </si>
  <si>
    <t>Children of war campaign (Kinder des Krieges). Kremlin-backed and AFD supported campaign to sway public opinion against supporting Ukraine. Could not find media articles of exhibits past August 24.</t>
  </si>
  <si>
    <t>Last (dis)info on this campaign holding exhibits appears to be: https://projekt-kriegskinder.de/</t>
  </si>
  <si>
    <t>MonthStart</t>
  </si>
  <si>
    <t>Occurred between April and September, so going with mean of June.</t>
  </si>
  <si>
    <t>Thwarted plot to kill Rheinmetall CEO Armin Papperger. Thwarted at the latest July 2024, when news broke in the media. Plot dated to 'earlier this year' according to CNN. Earlier this year may have been March, see extra info</t>
  </si>
  <si>
    <t>https://www.pravda.com.ua/eng/news/2025/02/07/7497221/</t>
  </si>
  <si>
    <t>NB:</t>
  </si>
  <si>
    <t>1 unknown month for 2024</t>
  </si>
  <si>
    <t>TotalOpsPerMonth</t>
  </si>
  <si>
    <t>Multi-month operations</t>
  </si>
  <si>
    <t>Single-month operations</t>
  </si>
  <si>
    <t>NB: 1 incident in 2024 had no month, excluded from figure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</si>
</sst>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scheme val="minor"/>
    </font>
    <font>
      <b/>
      <sz val="12"/>
      <color theme="1"/>
      <name val="Calibri"/>
      <family val="2"/>
      <scheme val="minor"/>
    </font>
    <font>
      <u/>
      <sz val="12"/>
      <color theme="10"/>
      <name val="Calibri"/>
      <family val="2"/>
      <scheme val="minor"/>
    </font>
    <font>
      <sz val="8"/>
      <name val="Calibri"/>
      <family val="2"/>
      <scheme val="minor"/>
    </font>
    <font>
      <sz val="12"/>
      <name val="Calibri"/>
      <family val="2"/>
      <scheme val="minor"/>
    </font>
    <font>
      <sz val="12"/>
      <color rgb="FF000000"/>
      <name val="Calibri"/>
      <family val="2"/>
      <scheme val="minor"/>
    </font>
    <font>
      <i/>
      <sz val="12"/>
      <color theme="1"/>
      <name val="Calibri"/>
      <family val="2"/>
      <scheme val="minor"/>
    </font>
    <font>
      <b/>
      <i/>
      <sz val="12"/>
      <color theme="1"/>
      <name val="Calibri"/>
      <family val="2"/>
      <scheme val="minor"/>
    </font>
    <font>
      <b/>
      <sz val="12"/>
      <color rgb="FF000000"/>
      <name val="Calibri"/>
      <family val="2"/>
      <scheme val="minor"/>
    </font>
  </fonts>
  <fills count="2">
    <fill>
      <patternFill patternType="none"/>
    </fill>
    <fill>
      <patternFill patternType="gray125"/>
    </fill>
  </fills>
  <borders count="4">
    <border>
      <left/>
      <right/>
      <top/>
      <bottom/>
      <diagonal/>
    </border>
    <border>
      <left/>
      <right/>
      <top style="thin">
        <color theme="4" tint="0.39997558519241921"/>
      </top>
      <bottom style="thin">
        <color theme="4" tint="0.39997558519241921"/>
      </bottom>
      <diagonal/>
    </border>
    <border>
      <left/>
      <right/>
      <top style="thin">
        <color rgb="FF8EA9DB"/>
      </top>
      <bottom style="thin">
        <color rgb="FF8EA9DB"/>
      </bottom>
      <diagonal/>
    </border>
    <border>
      <left/>
      <right/>
      <top/>
      <bottom style="thin">
        <color indexed="64"/>
      </bottom>
      <diagonal/>
    </border>
  </borders>
  <cellStyleXfs count="2">
    <xf numFmtId="0" fontId="0" fillId="0" borderId="0"/>
    <xf numFmtId="0" fontId="2" fillId="0" borderId="0" applyNumberFormat="0" applyFill="0" applyBorder="0" applyAlignment="0" applyProtection="0"/>
  </cellStyleXfs>
  <cellXfs count="28">
    <xf numFmtId="0" fontId="0" fillId="0" borderId="0" xfId="0"/>
    <xf numFmtId="0" fontId="1" fillId="0" borderId="0" xfId="0" applyFont="1"/>
    <xf numFmtId="0" fontId="4" fillId="0" borderId="0" xfId="0" applyFont="1"/>
    <xf numFmtId="0" fontId="2" fillId="0" borderId="0" xfId="1" applyFill="1"/>
    <xf numFmtId="17" fontId="2" fillId="0" borderId="0" xfId="1" applyNumberFormat="1" applyFill="1"/>
    <xf numFmtId="0" fontId="5" fillId="0" borderId="0" xfId="0" applyFont="1"/>
    <xf numFmtId="17" fontId="0" fillId="0" borderId="0" xfId="0" applyNumberFormat="1"/>
    <xf numFmtId="15" fontId="0" fillId="0" borderId="0" xfId="0" applyNumberFormat="1"/>
    <xf numFmtId="0" fontId="2" fillId="0" borderId="0" xfId="1" applyNumberFormat="1" applyFill="1"/>
    <xf numFmtId="0" fontId="2" fillId="0" borderId="0" xfId="1"/>
    <xf numFmtId="0" fontId="6" fillId="0" borderId="0" xfId="0" applyFont="1"/>
    <xf numFmtId="0" fontId="7" fillId="0" borderId="0" xfId="0" applyFont="1"/>
    <xf numFmtId="15" fontId="2" fillId="0" borderId="0" xfId="1" applyNumberFormat="1"/>
    <xf numFmtId="9" fontId="0" fillId="0" borderId="0" xfId="0" applyNumberFormat="1"/>
    <xf numFmtId="0" fontId="2" fillId="0" borderId="0" xfId="1" quotePrefix="1" applyFill="1"/>
    <xf numFmtId="0" fontId="8" fillId="0" borderId="0" xfId="0" applyFont="1"/>
    <xf numFmtId="9" fontId="1" fillId="0" borderId="0" xfId="0" applyNumberFormat="1" applyFont="1"/>
    <xf numFmtId="0" fontId="5" fillId="0" borderId="2" xfId="0" applyFont="1" applyBorder="1"/>
    <xf numFmtId="0" fontId="0" fillId="0" borderId="1" xfId="0" applyBorder="1"/>
    <xf numFmtId="0" fontId="0" fillId="0" borderId="0" xfId="0" applyAlignment="1">
      <alignment wrapText="1"/>
    </xf>
    <xf numFmtId="0" fontId="0" fillId="0" borderId="0" xfId="0" applyAlignment="1">
      <alignment vertical="top" wrapText="1"/>
    </xf>
    <xf numFmtId="0" fontId="0" fillId="0" borderId="0" xfId="0" applyAlignment="1">
      <alignment vertical="top"/>
    </xf>
    <xf numFmtId="0" fontId="7" fillId="0" borderId="3" xfId="0" applyFont="1" applyBorder="1"/>
    <xf numFmtId="14" fontId="1" fillId="0" borderId="0" xfId="0" applyNumberFormat="1" applyFont="1"/>
    <xf numFmtId="14" fontId="0" fillId="0" borderId="0" xfId="0" applyNumberFormat="1"/>
    <xf numFmtId="14" fontId="5" fillId="0" borderId="0" xfId="0" applyNumberFormat="1" applyFont="1"/>
    <xf numFmtId="14" fontId="2" fillId="0" borderId="0" xfId="1" applyNumberFormat="1" applyFill="1"/>
    <xf numFmtId="17" fontId="1" fillId="0" borderId="0" xfId="0" applyNumberFormat="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Specific Targets</a:t>
            </a:r>
            <a:r>
              <a:rPr lang="en-GB" baseline="0"/>
              <a:t> of Russian Operations in Europe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stacked"/>
        <c:varyColors val="0"/>
        <c:ser>
          <c:idx val="0"/>
          <c:order val="0"/>
          <c:tx>
            <c:strRef>
              <c:f>Visualization!$Z$1</c:f>
              <c:strCache>
                <c:ptCount val="1"/>
                <c:pt idx="0">
                  <c:v>2022</c:v>
                </c:pt>
              </c:strCache>
            </c:strRef>
          </c:tx>
          <c:spPr>
            <a:solidFill>
              <a:schemeClr val="accent1"/>
            </a:solidFill>
            <a:ln>
              <a:noFill/>
            </a:ln>
            <a:effectLst/>
          </c:spPr>
          <c:invertIfNegative val="0"/>
          <c:cat>
            <c:strRef>
              <c:f>Visualization!$Y$2:$Y$15</c:f>
              <c:strCache>
                <c:ptCount val="14"/>
                <c:pt idx="0">
                  <c:v>Industrialist(s)</c:v>
                </c:pt>
                <c:pt idx="1">
                  <c:v>Defector(s)</c:v>
                </c:pt>
                <c:pt idx="2">
                  <c:v>Journalist(s)</c:v>
                </c:pt>
                <c:pt idx="3">
                  <c:v>Economic infrastructure</c:v>
                </c:pt>
                <c:pt idx="4">
                  <c:v>Arms deliveries to Ukraine</c:v>
                </c:pt>
                <c:pt idx="5">
                  <c:v>Border</c:v>
                </c:pt>
                <c:pt idx="6">
                  <c:v>Transport infrastructure</c:v>
                </c:pt>
                <c:pt idx="7">
                  <c:v>Politician(s)</c:v>
                </c:pt>
                <c:pt idx="8">
                  <c:v>Pubic services</c:v>
                </c:pt>
                <c:pt idx="9">
                  <c:v>Energy / communications infrastructure</c:v>
                </c:pt>
                <c:pt idx="10">
                  <c:v>Civil aviation</c:v>
                </c:pt>
                <c:pt idx="11">
                  <c:v>Internet / Social media / News</c:v>
                </c:pt>
                <c:pt idx="12">
                  <c:v>Military / weapons production infrastructure</c:v>
                </c:pt>
                <c:pt idx="13">
                  <c:v>Public space</c:v>
                </c:pt>
              </c:strCache>
            </c:strRef>
          </c:cat>
          <c:val>
            <c:numRef>
              <c:f>Visualization!$Z$2:$Z$15</c:f>
              <c:numCache>
                <c:formatCode>General</c:formatCode>
                <c:ptCount val="14"/>
                <c:pt idx="0">
                  <c:v>0</c:v>
                </c:pt>
                <c:pt idx="1">
                  <c:v>0</c:v>
                </c:pt>
                <c:pt idx="2">
                  <c:v>0</c:v>
                </c:pt>
                <c:pt idx="3">
                  <c:v>0</c:v>
                </c:pt>
                <c:pt idx="4">
                  <c:v>0</c:v>
                </c:pt>
                <c:pt idx="5">
                  <c:v>0</c:v>
                </c:pt>
                <c:pt idx="6">
                  <c:v>0</c:v>
                </c:pt>
                <c:pt idx="7">
                  <c:v>1</c:v>
                </c:pt>
                <c:pt idx="8">
                  <c:v>0</c:v>
                </c:pt>
                <c:pt idx="9">
                  <c:v>2</c:v>
                </c:pt>
                <c:pt idx="10">
                  <c:v>1</c:v>
                </c:pt>
                <c:pt idx="11">
                  <c:v>1</c:v>
                </c:pt>
                <c:pt idx="12">
                  <c:v>5</c:v>
                </c:pt>
                <c:pt idx="13">
                  <c:v>4</c:v>
                </c:pt>
              </c:numCache>
            </c:numRef>
          </c:val>
          <c:extLst>
            <c:ext xmlns:c16="http://schemas.microsoft.com/office/drawing/2014/chart" uri="{C3380CC4-5D6E-409C-BE32-E72D297353CC}">
              <c16:uniqueId val="{00000000-06F9-3F47-AB57-FB3AF089DB93}"/>
            </c:ext>
          </c:extLst>
        </c:ser>
        <c:ser>
          <c:idx val="1"/>
          <c:order val="1"/>
          <c:tx>
            <c:strRef>
              <c:f>Visualization!$AA$1</c:f>
              <c:strCache>
                <c:ptCount val="1"/>
                <c:pt idx="0">
                  <c:v>2023</c:v>
                </c:pt>
              </c:strCache>
            </c:strRef>
          </c:tx>
          <c:spPr>
            <a:solidFill>
              <a:schemeClr val="accent2"/>
            </a:solidFill>
            <a:ln>
              <a:noFill/>
            </a:ln>
            <a:effectLst/>
          </c:spPr>
          <c:invertIfNegative val="0"/>
          <c:cat>
            <c:strRef>
              <c:f>Visualization!$Y$2:$Y$15</c:f>
              <c:strCache>
                <c:ptCount val="14"/>
                <c:pt idx="0">
                  <c:v>Industrialist(s)</c:v>
                </c:pt>
                <c:pt idx="1">
                  <c:v>Defector(s)</c:v>
                </c:pt>
                <c:pt idx="2">
                  <c:v>Journalist(s)</c:v>
                </c:pt>
                <c:pt idx="3">
                  <c:v>Economic infrastructure</c:v>
                </c:pt>
                <c:pt idx="4">
                  <c:v>Arms deliveries to Ukraine</c:v>
                </c:pt>
                <c:pt idx="5">
                  <c:v>Border</c:v>
                </c:pt>
                <c:pt idx="6">
                  <c:v>Transport infrastructure</c:v>
                </c:pt>
                <c:pt idx="7">
                  <c:v>Politician(s)</c:v>
                </c:pt>
                <c:pt idx="8">
                  <c:v>Pubic services</c:v>
                </c:pt>
                <c:pt idx="9">
                  <c:v>Energy / communications infrastructure</c:v>
                </c:pt>
                <c:pt idx="10">
                  <c:v>Civil aviation</c:v>
                </c:pt>
                <c:pt idx="11">
                  <c:v>Internet / Social media / News</c:v>
                </c:pt>
                <c:pt idx="12">
                  <c:v>Military / weapons production infrastructure</c:v>
                </c:pt>
                <c:pt idx="13">
                  <c:v>Public space</c:v>
                </c:pt>
              </c:strCache>
            </c:strRef>
          </c:cat>
          <c:val>
            <c:numRef>
              <c:f>Visualization!$AA$2:$AA$15</c:f>
              <c:numCache>
                <c:formatCode>General</c:formatCode>
                <c:ptCount val="14"/>
                <c:pt idx="0">
                  <c:v>0</c:v>
                </c:pt>
                <c:pt idx="1">
                  <c:v>0</c:v>
                </c:pt>
                <c:pt idx="2">
                  <c:v>1</c:v>
                </c:pt>
                <c:pt idx="3">
                  <c:v>0</c:v>
                </c:pt>
                <c:pt idx="4">
                  <c:v>0</c:v>
                </c:pt>
                <c:pt idx="5">
                  <c:v>3</c:v>
                </c:pt>
                <c:pt idx="6">
                  <c:v>1</c:v>
                </c:pt>
                <c:pt idx="7">
                  <c:v>4</c:v>
                </c:pt>
                <c:pt idx="8">
                  <c:v>0</c:v>
                </c:pt>
                <c:pt idx="9">
                  <c:v>2</c:v>
                </c:pt>
                <c:pt idx="10">
                  <c:v>1</c:v>
                </c:pt>
                <c:pt idx="11">
                  <c:v>4</c:v>
                </c:pt>
                <c:pt idx="12">
                  <c:v>2</c:v>
                </c:pt>
                <c:pt idx="13">
                  <c:v>5</c:v>
                </c:pt>
              </c:numCache>
            </c:numRef>
          </c:val>
          <c:extLst>
            <c:ext xmlns:c16="http://schemas.microsoft.com/office/drawing/2014/chart" uri="{C3380CC4-5D6E-409C-BE32-E72D297353CC}">
              <c16:uniqueId val="{00000001-06F9-3F47-AB57-FB3AF089DB93}"/>
            </c:ext>
          </c:extLst>
        </c:ser>
        <c:ser>
          <c:idx val="2"/>
          <c:order val="2"/>
          <c:tx>
            <c:strRef>
              <c:f>Visualization!$AB$1</c:f>
              <c:strCache>
                <c:ptCount val="1"/>
                <c:pt idx="0">
                  <c:v>2024</c:v>
                </c:pt>
              </c:strCache>
            </c:strRef>
          </c:tx>
          <c:spPr>
            <a:solidFill>
              <a:schemeClr val="accent3"/>
            </a:solidFill>
            <a:ln>
              <a:noFill/>
            </a:ln>
            <a:effectLst/>
          </c:spPr>
          <c:invertIfNegative val="0"/>
          <c:cat>
            <c:strRef>
              <c:f>Visualization!$Y$2:$Y$15</c:f>
              <c:strCache>
                <c:ptCount val="14"/>
                <c:pt idx="0">
                  <c:v>Industrialist(s)</c:v>
                </c:pt>
                <c:pt idx="1">
                  <c:v>Defector(s)</c:v>
                </c:pt>
                <c:pt idx="2">
                  <c:v>Journalist(s)</c:v>
                </c:pt>
                <c:pt idx="3">
                  <c:v>Economic infrastructure</c:v>
                </c:pt>
                <c:pt idx="4">
                  <c:v>Arms deliveries to Ukraine</c:v>
                </c:pt>
                <c:pt idx="5">
                  <c:v>Border</c:v>
                </c:pt>
                <c:pt idx="6">
                  <c:v>Transport infrastructure</c:v>
                </c:pt>
                <c:pt idx="7">
                  <c:v>Politician(s)</c:v>
                </c:pt>
                <c:pt idx="8">
                  <c:v>Pubic services</c:v>
                </c:pt>
                <c:pt idx="9">
                  <c:v>Energy / communications infrastructure</c:v>
                </c:pt>
                <c:pt idx="10">
                  <c:v>Civil aviation</c:v>
                </c:pt>
                <c:pt idx="11">
                  <c:v>Internet / Social media / News</c:v>
                </c:pt>
                <c:pt idx="12">
                  <c:v>Military / weapons production infrastructure</c:v>
                </c:pt>
                <c:pt idx="13">
                  <c:v>Public space</c:v>
                </c:pt>
              </c:strCache>
            </c:strRef>
          </c:cat>
          <c:val>
            <c:numRef>
              <c:f>Visualization!$AB$2:$AB$15</c:f>
              <c:numCache>
                <c:formatCode>General</c:formatCode>
                <c:ptCount val="14"/>
                <c:pt idx="0">
                  <c:v>1</c:v>
                </c:pt>
                <c:pt idx="1">
                  <c:v>1</c:v>
                </c:pt>
                <c:pt idx="2">
                  <c:v>0</c:v>
                </c:pt>
                <c:pt idx="3">
                  <c:v>0</c:v>
                </c:pt>
                <c:pt idx="4">
                  <c:v>1</c:v>
                </c:pt>
                <c:pt idx="5">
                  <c:v>2</c:v>
                </c:pt>
                <c:pt idx="6">
                  <c:v>6</c:v>
                </c:pt>
                <c:pt idx="7">
                  <c:v>4</c:v>
                </c:pt>
                <c:pt idx="8">
                  <c:v>8</c:v>
                </c:pt>
                <c:pt idx="9">
                  <c:v>5</c:v>
                </c:pt>
                <c:pt idx="10">
                  <c:v>5</c:v>
                </c:pt>
                <c:pt idx="11">
                  <c:v>8</c:v>
                </c:pt>
                <c:pt idx="12">
                  <c:v>4</c:v>
                </c:pt>
                <c:pt idx="13">
                  <c:v>24</c:v>
                </c:pt>
              </c:numCache>
            </c:numRef>
          </c:val>
          <c:extLst>
            <c:ext xmlns:c16="http://schemas.microsoft.com/office/drawing/2014/chart" uri="{C3380CC4-5D6E-409C-BE32-E72D297353CC}">
              <c16:uniqueId val="{00000002-06F9-3F47-AB57-FB3AF089DB93}"/>
            </c:ext>
          </c:extLst>
        </c:ser>
        <c:ser>
          <c:idx val="3"/>
          <c:order val="3"/>
          <c:tx>
            <c:strRef>
              <c:f>Visualization!$AC$1</c:f>
              <c:strCache>
                <c:ptCount val="1"/>
                <c:pt idx="0">
                  <c:v>2025</c:v>
                </c:pt>
              </c:strCache>
            </c:strRef>
          </c:tx>
          <c:spPr>
            <a:solidFill>
              <a:schemeClr val="accent4"/>
            </a:solidFill>
            <a:ln>
              <a:noFill/>
            </a:ln>
            <a:effectLst/>
          </c:spPr>
          <c:invertIfNegative val="0"/>
          <c:cat>
            <c:strRef>
              <c:f>Visualization!$Y$2:$Y$15</c:f>
              <c:strCache>
                <c:ptCount val="14"/>
                <c:pt idx="0">
                  <c:v>Industrialist(s)</c:v>
                </c:pt>
                <c:pt idx="1">
                  <c:v>Defector(s)</c:v>
                </c:pt>
                <c:pt idx="2">
                  <c:v>Journalist(s)</c:v>
                </c:pt>
                <c:pt idx="3">
                  <c:v>Economic infrastructure</c:v>
                </c:pt>
                <c:pt idx="4">
                  <c:v>Arms deliveries to Ukraine</c:v>
                </c:pt>
                <c:pt idx="5">
                  <c:v>Border</c:v>
                </c:pt>
                <c:pt idx="6">
                  <c:v>Transport infrastructure</c:v>
                </c:pt>
                <c:pt idx="7">
                  <c:v>Politician(s)</c:v>
                </c:pt>
                <c:pt idx="8">
                  <c:v>Pubic services</c:v>
                </c:pt>
                <c:pt idx="9">
                  <c:v>Energy / communications infrastructure</c:v>
                </c:pt>
                <c:pt idx="10">
                  <c:v>Civil aviation</c:v>
                </c:pt>
                <c:pt idx="11">
                  <c:v>Internet / Social media / News</c:v>
                </c:pt>
                <c:pt idx="12">
                  <c:v>Military / weapons production infrastructure</c:v>
                </c:pt>
                <c:pt idx="13">
                  <c:v>Public space</c:v>
                </c:pt>
              </c:strCache>
            </c:strRef>
          </c:cat>
          <c:val>
            <c:numRef>
              <c:f>Visualization!$AC$2:$AC$15</c:f>
              <c:numCache>
                <c:formatCode>General</c:formatCode>
                <c:ptCount val="14"/>
                <c:pt idx="0">
                  <c:v>0</c:v>
                </c:pt>
                <c:pt idx="1">
                  <c:v>0</c:v>
                </c:pt>
                <c:pt idx="2">
                  <c:v>0</c:v>
                </c:pt>
                <c:pt idx="3">
                  <c:v>1</c:v>
                </c:pt>
                <c:pt idx="4">
                  <c:v>1</c:v>
                </c:pt>
                <c:pt idx="5">
                  <c:v>1</c:v>
                </c:pt>
                <c:pt idx="6">
                  <c:v>1</c:v>
                </c:pt>
                <c:pt idx="7">
                  <c:v>0</c:v>
                </c:pt>
                <c:pt idx="8">
                  <c:v>2</c:v>
                </c:pt>
                <c:pt idx="9">
                  <c:v>5</c:v>
                </c:pt>
                <c:pt idx="10">
                  <c:v>9</c:v>
                </c:pt>
                <c:pt idx="11">
                  <c:v>6</c:v>
                </c:pt>
                <c:pt idx="12">
                  <c:v>9</c:v>
                </c:pt>
                <c:pt idx="13">
                  <c:v>6</c:v>
                </c:pt>
              </c:numCache>
            </c:numRef>
          </c:val>
          <c:extLst>
            <c:ext xmlns:c16="http://schemas.microsoft.com/office/drawing/2014/chart" uri="{C3380CC4-5D6E-409C-BE32-E72D297353CC}">
              <c16:uniqueId val="{00000000-0390-4446-986A-F3E2A2A191C2}"/>
            </c:ext>
          </c:extLst>
        </c:ser>
        <c:dLbls>
          <c:showLegendKey val="0"/>
          <c:showVal val="0"/>
          <c:showCatName val="0"/>
          <c:showSerName val="0"/>
          <c:showPercent val="0"/>
          <c:showBubbleSize val="0"/>
        </c:dLbls>
        <c:gapWidth val="150"/>
        <c:overlap val="100"/>
        <c:axId val="1939928320"/>
        <c:axId val="1977959568"/>
      </c:barChart>
      <c:catAx>
        <c:axId val="1939928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977959568"/>
        <c:crosses val="autoZero"/>
        <c:auto val="1"/>
        <c:lblAlgn val="ctr"/>
        <c:lblOffset val="100"/>
        <c:noMultiLvlLbl val="0"/>
      </c:catAx>
      <c:valAx>
        <c:axId val="1977959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9399283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Locations Targeted by Russian Operations in Europe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barChart>
        <c:barDir val="col"/>
        <c:grouping val="stacked"/>
        <c:varyColors val="0"/>
        <c:ser>
          <c:idx val="0"/>
          <c:order val="0"/>
          <c:tx>
            <c:strRef>
              <c:f>Visualization!$AG$1</c:f>
              <c:strCache>
                <c:ptCount val="1"/>
                <c:pt idx="0">
                  <c:v>2022</c:v>
                </c:pt>
              </c:strCache>
            </c:strRef>
          </c:tx>
          <c:spPr>
            <a:solidFill>
              <a:schemeClr val="accent1"/>
            </a:solidFill>
            <a:ln>
              <a:noFill/>
            </a:ln>
            <a:effectLst/>
          </c:spPr>
          <c:invertIfNegative val="0"/>
          <c:cat>
            <c:strRef>
              <c:f>Visualization!$AF$2:$AF$25</c:f>
              <c:strCache>
                <c:ptCount val="24"/>
                <c:pt idx="0">
                  <c:v>Germany</c:v>
                </c:pt>
                <c:pt idx="1">
                  <c:v>Poland</c:v>
                </c:pt>
                <c:pt idx="2">
                  <c:v>France</c:v>
                </c:pt>
                <c:pt idx="3">
                  <c:v>The Netherlands</c:v>
                </c:pt>
                <c:pt idx="4">
                  <c:v>United Kingdom</c:v>
                </c:pt>
                <c:pt idx="5">
                  <c:v>Latvia</c:v>
                </c:pt>
                <c:pt idx="6">
                  <c:v>Baltic Sea</c:v>
                </c:pt>
                <c:pt idx="7">
                  <c:v>Estonia</c:v>
                </c:pt>
                <c:pt idx="8">
                  <c:v>Belgium</c:v>
                </c:pt>
                <c:pt idx="9">
                  <c:v>Lithuania</c:v>
                </c:pt>
                <c:pt idx="10">
                  <c:v>Spain</c:v>
                </c:pt>
                <c:pt idx="11">
                  <c:v>Finland</c:v>
                </c:pt>
                <c:pt idx="12">
                  <c:v>Italy</c:v>
                </c:pt>
                <c:pt idx="13">
                  <c:v>Romania</c:v>
                </c:pt>
                <c:pt idx="14">
                  <c:v>Czechia </c:v>
                </c:pt>
                <c:pt idx="15">
                  <c:v>Bulgaria</c:v>
                </c:pt>
                <c:pt idx="16">
                  <c:v>Sweden</c:v>
                </c:pt>
                <c:pt idx="17">
                  <c:v>Austria</c:v>
                </c:pt>
                <c:pt idx="18">
                  <c:v>Switzerland</c:v>
                </c:pt>
                <c:pt idx="19">
                  <c:v>Denmark</c:v>
                </c:pt>
                <c:pt idx="20">
                  <c:v>Norway</c:v>
                </c:pt>
                <c:pt idx="21">
                  <c:v>North Sea</c:v>
                </c:pt>
                <c:pt idx="22">
                  <c:v>Ireland</c:v>
                </c:pt>
                <c:pt idx="23">
                  <c:v>Slovakia</c:v>
                </c:pt>
              </c:strCache>
            </c:strRef>
          </c:cat>
          <c:val>
            <c:numRef>
              <c:f>Visualization!$AG$2:$AG$25</c:f>
              <c:numCache>
                <c:formatCode>General</c:formatCode>
                <c:ptCount val="24"/>
                <c:pt idx="0">
                  <c:v>6</c:v>
                </c:pt>
                <c:pt idx="1">
                  <c:v>1</c:v>
                </c:pt>
                <c:pt idx="2">
                  <c:v>2</c:v>
                </c:pt>
                <c:pt idx="3">
                  <c:v>1</c:v>
                </c:pt>
                <c:pt idx="4">
                  <c:v>2</c:v>
                </c:pt>
                <c:pt idx="5">
                  <c:v>2</c:v>
                </c:pt>
                <c:pt idx="6">
                  <c:v>1</c:v>
                </c:pt>
                <c:pt idx="7">
                  <c:v>1</c:v>
                </c:pt>
                <c:pt idx="8">
                  <c:v>0</c:v>
                </c:pt>
                <c:pt idx="9">
                  <c:v>0</c:v>
                </c:pt>
                <c:pt idx="10">
                  <c:v>1</c:v>
                </c:pt>
                <c:pt idx="11">
                  <c:v>0</c:v>
                </c:pt>
                <c:pt idx="12">
                  <c:v>1</c:v>
                </c:pt>
                <c:pt idx="13">
                  <c:v>0</c:v>
                </c:pt>
                <c:pt idx="14">
                  <c:v>0</c:v>
                </c:pt>
                <c:pt idx="15">
                  <c:v>1</c:v>
                </c:pt>
                <c:pt idx="16">
                  <c:v>0</c:v>
                </c:pt>
                <c:pt idx="17">
                  <c:v>1</c:v>
                </c:pt>
                <c:pt idx="18">
                  <c:v>0</c:v>
                </c:pt>
                <c:pt idx="19">
                  <c:v>0</c:v>
                </c:pt>
                <c:pt idx="20">
                  <c:v>1</c:v>
                </c:pt>
                <c:pt idx="21">
                  <c:v>1</c:v>
                </c:pt>
                <c:pt idx="22">
                  <c:v>1</c:v>
                </c:pt>
                <c:pt idx="23">
                  <c:v>0</c:v>
                </c:pt>
              </c:numCache>
            </c:numRef>
          </c:val>
          <c:extLst>
            <c:ext xmlns:c16="http://schemas.microsoft.com/office/drawing/2014/chart" uri="{C3380CC4-5D6E-409C-BE32-E72D297353CC}">
              <c16:uniqueId val="{00000000-5457-9441-B8F4-CCFB7DE9CE9E}"/>
            </c:ext>
          </c:extLst>
        </c:ser>
        <c:ser>
          <c:idx val="1"/>
          <c:order val="1"/>
          <c:tx>
            <c:strRef>
              <c:f>Visualization!$AH$1</c:f>
              <c:strCache>
                <c:ptCount val="1"/>
                <c:pt idx="0">
                  <c:v>2023</c:v>
                </c:pt>
              </c:strCache>
            </c:strRef>
          </c:tx>
          <c:spPr>
            <a:solidFill>
              <a:schemeClr val="accent2"/>
            </a:solidFill>
            <a:ln>
              <a:noFill/>
            </a:ln>
            <a:effectLst/>
          </c:spPr>
          <c:invertIfNegative val="0"/>
          <c:cat>
            <c:strRef>
              <c:f>Visualization!$AF$2:$AF$25</c:f>
              <c:strCache>
                <c:ptCount val="24"/>
                <c:pt idx="0">
                  <c:v>Germany</c:v>
                </c:pt>
                <c:pt idx="1">
                  <c:v>Poland</c:v>
                </c:pt>
                <c:pt idx="2">
                  <c:v>France</c:v>
                </c:pt>
                <c:pt idx="3">
                  <c:v>The Netherlands</c:v>
                </c:pt>
                <c:pt idx="4">
                  <c:v>United Kingdom</c:v>
                </c:pt>
                <c:pt idx="5">
                  <c:v>Latvia</c:v>
                </c:pt>
                <c:pt idx="6">
                  <c:v>Baltic Sea</c:v>
                </c:pt>
                <c:pt idx="7">
                  <c:v>Estonia</c:v>
                </c:pt>
                <c:pt idx="8">
                  <c:v>Belgium</c:v>
                </c:pt>
                <c:pt idx="9">
                  <c:v>Lithuania</c:v>
                </c:pt>
                <c:pt idx="10">
                  <c:v>Spain</c:v>
                </c:pt>
                <c:pt idx="11">
                  <c:v>Finland</c:v>
                </c:pt>
                <c:pt idx="12">
                  <c:v>Italy</c:v>
                </c:pt>
                <c:pt idx="13">
                  <c:v>Romania</c:v>
                </c:pt>
                <c:pt idx="14">
                  <c:v>Czechia </c:v>
                </c:pt>
                <c:pt idx="15">
                  <c:v>Bulgaria</c:v>
                </c:pt>
                <c:pt idx="16">
                  <c:v>Sweden</c:v>
                </c:pt>
                <c:pt idx="17">
                  <c:v>Austria</c:v>
                </c:pt>
                <c:pt idx="18">
                  <c:v>Switzerland</c:v>
                </c:pt>
                <c:pt idx="19">
                  <c:v>Denmark</c:v>
                </c:pt>
                <c:pt idx="20">
                  <c:v>Norway</c:v>
                </c:pt>
                <c:pt idx="21">
                  <c:v>North Sea</c:v>
                </c:pt>
                <c:pt idx="22">
                  <c:v>Ireland</c:v>
                </c:pt>
                <c:pt idx="23">
                  <c:v>Slovakia</c:v>
                </c:pt>
              </c:strCache>
            </c:strRef>
          </c:cat>
          <c:val>
            <c:numRef>
              <c:f>Visualization!$AH$2:$AH$25</c:f>
              <c:numCache>
                <c:formatCode>General</c:formatCode>
                <c:ptCount val="24"/>
                <c:pt idx="0">
                  <c:v>6</c:v>
                </c:pt>
                <c:pt idx="1">
                  <c:v>4</c:v>
                </c:pt>
                <c:pt idx="2">
                  <c:v>7</c:v>
                </c:pt>
                <c:pt idx="3">
                  <c:v>4</c:v>
                </c:pt>
                <c:pt idx="4">
                  <c:v>2</c:v>
                </c:pt>
                <c:pt idx="5">
                  <c:v>4</c:v>
                </c:pt>
                <c:pt idx="6">
                  <c:v>3</c:v>
                </c:pt>
                <c:pt idx="7">
                  <c:v>5</c:v>
                </c:pt>
                <c:pt idx="8">
                  <c:v>2</c:v>
                </c:pt>
                <c:pt idx="9">
                  <c:v>2</c:v>
                </c:pt>
                <c:pt idx="10">
                  <c:v>2</c:v>
                </c:pt>
                <c:pt idx="11">
                  <c:v>2</c:v>
                </c:pt>
                <c:pt idx="12">
                  <c:v>1</c:v>
                </c:pt>
                <c:pt idx="13">
                  <c:v>1</c:v>
                </c:pt>
                <c:pt idx="14">
                  <c:v>1</c:v>
                </c:pt>
                <c:pt idx="15">
                  <c:v>2</c:v>
                </c:pt>
                <c:pt idx="16">
                  <c:v>1</c:v>
                </c:pt>
                <c:pt idx="17">
                  <c:v>1</c:v>
                </c:pt>
                <c:pt idx="18">
                  <c:v>1</c:v>
                </c:pt>
                <c:pt idx="19">
                  <c:v>0</c:v>
                </c:pt>
                <c:pt idx="20">
                  <c:v>0</c:v>
                </c:pt>
                <c:pt idx="21">
                  <c:v>1</c:v>
                </c:pt>
                <c:pt idx="22">
                  <c:v>0</c:v>
                </c:pt>
                <c:pt idx="23">
                  <c:v>0</c:v>
                </c:pt>
              </c:numCache>
            </c:numRef>
          </c:val>
          <c:extLst>
            <c:ext xmlns:c16="http://schemas.microsoft.com/office/drawing/2014/chart" uri="{C3380CC4-5D6E-409C-BE32-E72D297353CC}">
              <c16:uniqueId val="{00000001-5457-9441-B8F4-CCFB7DE9CE9E}"/>
            </c:ext>
          </c:extLst>
        </c:ser>
        <c:ser>
          <c:idx val="2"/>
          <c:order val="2"/>
          <c:tx>
            <c:strRef>
              <c:f>Visualization!$AI$1</c:f>
              <c:strCache>
                <c:ptCount val="1"/>
                <c:pt idx="0">
                  <c:v>2024</c:v>
                </c:pt>
              </c:strCache>
            </c:strRef>
          </c:tx>
          <c:spPr>
            <a:solidFill>
              <a:schemeClr val="accent3"/>
            </a:solidFill>
            <a:ln>
              <a:noFill/>
            </a:ln>
            <a:effectLst/>
          </c:spPr>
          <c:invertIfNegative val="0"/>
          <c:cat>
            <c:strRef>
              <c:f>Visualization!$AF$2:$AF$25</c:f>
              <c:strCache>
                <c:ptCount val="24"/>
                <c:pt idx="0">
                  <c:v>Germany</c:v>
                </c:pt>
                <c:pt idx="1">
                  <c:v>Poland</c:v>
                </c:pt>
                <c:pt idx="2">
                  <c:v>France</c:v>
                </c:pt>
                <c:pt idx="3">
                  <c:v>The Netherlands</c:v>
                </c:pt>
                <c:pt idx="4">
                  <c:v>United Kingdom</c:v>
                </c:pt>
                <c:pt idx="5">
                  <c:v>Latvia</c:v>
                </c:pt>
                <c:pt idx="6">
                  <c:v>Baltic Sea</c:v>
                </c:pt>
                <c:pt idx="7">
                  <c:v>Estonia</c:v>
                </c:pt>
                <c:pt idx="8">
                  <c:v>Belgium</c:v>
                </c:pt>
                <c:pt idx="9">
                  <c:v>Lithuania</c:v>
                </c:pt>
                <c:pt idx="10">
                  <c:v>Spain</c:v>
                </c:pt>
                <c:pt idx="11">
                  <c:v>Finland</c:v>
                </c:pt>
                <c:pt idx="12">
                  <c:v>Italy</c:v>
                </c:pt>
                <c:pt idx="13">
                  <c:v>Romania</c:v>
                </c:pt>
                <c:pt idx="14">
                  <c:v>Czechia </c:v>
                </c:pt>
                <c:pt idx="15">
                  <c:v>Bulgaria</c:v>
                </c:pt>
                <c:pt idx="16">
                  <c:v>Sweden</c:v>
                </c:pt>
                <c:pt idx="17">
                  <c:v>Austria</c:v>
                </c:pt>
                <c:pt idx="18">
                  <c:v>Switzerland</c:v>
                </c:pt>
                <c:pt idx="19">
                  <c:v>Denmark</c:v>
                </c:pt>
                <c:pt idx="20">
                  <c:v>Norway</c:v>
                </c:pt>
                <c:pt idx="21">
                  <c:v>North Sea</c:v>
                </c:pt>
                <c:pt idx="22">
                  <c:v>Ireland</c:v>
                </c:pt>
                <c:pt idx="23">
                  <c:v>Slovakia</c:v>
                </c:pt>
              </c:strCache>
            </c:strRef>
          </c:cat>
          <c:val>
            <c:numRef>
              <c:f>Visualization!$AI$2:$AI$25</c:f>
              <c:numCache>
                <c:formatCode>General</c:formatCode>
                <c:ptCount val="24"/>
                <c:pt idx="0">
                  <c:v>14</c:v>
                </c:pt>
                <c:pt idx="1">
                  <c:v>17</c:v>
                </c:pt>
                <c:pt idx="2">
                  <c:v>14</c:v>
                </c:pt>
                <c:pt idx="3">
                  <c:v>7</c:v>
                </c:pt>
                <c:pt idx="4">
                  <c:v>4</c:v>
                </c:pt>
                <c:pt idx="5">
                  <c:v>3</c:v>
                </c:pt>
                <c:pt idx="6">
                  <c:v>4</c:v>
                </c:pt>
                <c:pt idx="7">
                  <c:v>2</c:v>
                </c:pt>
                <c:pt idx="8">
                  <c:v>1</c:v>
                </c:pt>
                <c:pt idx="9">
                  <c:v>5</c:v>
                </c:pt>
                <c:pt idx="10">
                  <c:v>4</c:v>
                </c:pt>
                <c:pt idx="11">
                  <c:v>4</c:v>
                </c:pt>
                <c:pt idx="12">
                  <c:v>2</c:v>
                </c:pt>
                <c:pt idx="13">
                  <c:v>3</c:v>
                </c:pt>
                <c:pt idx="14">
                  <c:v>3</c:v>
                </c:pt>
                <c:pt idx="15">
                  <c:v>1</c:v>
                </c:pt>
                <c:pt idx="16">
                  <c:v>2</c:v>
                </c:pt>
                <c:pt idx="17">
                  <c:v>1</c:v>
                </c:pt>
                <c:pt idx="18">
                  <c:v>2</c:v>
                </c:pt>
                <c:pt idx="19">
                  <c:v>1</c:v>
                </c:pt>
                <c:pt idx="20">
                  <c:v>0</c:v>
                </c:pt>
                <c:pt idx="21">
                  <c:v>1</c:v>
                </c:pt>
                <c:pt idx="22">
                  <c:v>0</c:v>
                </c:pt>
                <c:pt idx="23">
                  <c:v>1</c:v>
                </c:pt>
              </c:numCache>
            </c:numRef>
          </c:val>
          <c:extLst>
            <c:ext xmlns:c16="http://schemas.microsoft.com/office/drawing/2014/chart" uri="{C3380CC4-5D6E-409C-BE32-E72D297353CC}">
              <c16:uniqueId val="{00000002-5457-9441-B8F4-CCFB7DE9CE9E}"/>
            </c:ext>
          </c:extLst>
        </c:ser>
        <c:ser>
          <c:idx val="3"/>
          <c:order val="3"/>
          <c:tx>
            <c:strRef>
              <c:f>Visualization!$AJ$1</c:f>
              <c:strCache>
                <c:ptCount val="1"/>
                <c:pt idx="0">
                  <c:v>2025</c:v>
                </c:pt>
              </c:strCache>
            </c:strRef>
          </c:tx>
          <c:spPr>
            <a:solidFill>
              <a:schemeClr val="accent4"/>
            </a:solidFill>
            <a:ln>
              <a:noFill/>
            </a:ln>
            <a:effectLst/>
          </c:spPr>
          <c:invertIfNegative val="0"/>
          <c:cat>
            <c:strRef>
              <c:f>Visualization!$AF$2:$AF$25</c:f>
              <c:strCache>
                <c:ptCount val="24"/>
                <c:pt idx="0">
                  <c:v>Germany</c:v>
                </c:pt>
                <c:pt idx="1">
                  <c:v>Poland</c:v>
                </c:pt>
                <c:pt idx="2">
                  <c:v>France</c:v>
                </c:pt>
                <c:pt idx="3">
                  <c:v>The Netherlands</c:v>
                </c:pt>
                <c:pt idx="4">
                  <c:v>United Kingdom</c:v>
                </c:pt>
                <c:pt idx="5">
                  <c:v>Latvia</c:v>
                </c:pt>
                <c:pt idx="6">
                  <c:v>Baltic Sea</c:v>
                </c:pt>
                <c:pt idx="7">
                  <c:v>Estonia</c:v>
                </c:pt>
                <c:pt idx="8">
                  <c:v>Belgium</c:v>
                </c:pt>
                <c:pt idx="9">
                  <c:v>Lithuania</c:v>
                </c:pt>
                <c:pt idx="10">
                  <c:v>Spain</c:v>
                </c:pt>
                <c:pt idx="11">
                  <c:v>Finland</c:v>
                </c:pt>
                <c:pt idx="12">
                  <c:v>Italy</c:v>
                </c:pt>
                <c:pt idx="13">
                  <c:v>Romania</c:v>
                </c:pt>
                <c:pt idx="14">
                  <c:v>Czechia </c:v>
                </c:pt>
                <c:pt idx="15">
                  <c:v>Bulgaria</c:v>
                </c:pt>
                <c:pt idx="16">
                  <c:v>Sweden</c:v>
                </c:pt>
                <c:pt idx="17">
                  <c:v>Austria</c:v>
                </c:pt>
                <c:pt idx="18">
                  <c:v>Switzerland</c:v>
                </c:pt>
                <c:pt idx="19">
                  <c:v>Denmark</c:v>
                </c:pt>
                <c:pt idx="20">
                  <c:v>Norway</c:v>
                </c:pt>
                <c:pt idx="21">
                  <c:v>North Sea</c:v>
                </c:pt>
                <c:pt idx="22">
                  <c:v>Ireland</c:v>
                </c:pt>
                <c:pt idx="23">
                  <c:v>Slovakia</c:v>
                </c:pt>
              </c:strCache>
            </c:strRef>
          </c:cat>
          <c:val>
            <c:numRef>
              <c:f>Visualization!$AJ$2:$AJ$25</c:f>
              <c:numCache>
                <c:formatCode>General</c:formatCode>
                <c:ptCount val="24"/>
                <c:pt idx="0">
                  <c:v>10</c:v>
                </c:pt>
                <c:pt idx="1">
                  <c:v>8</c:v>
                </c:pt>
                <c:pt idx="2">
                  <c:v>6</c:v>
                </c:pt>
                <c:pt idx="3">
                  <c:v>3</c:v>
                </c:pt>
                <c:pt idx="4">
                  <c:v>3</c:v>
                </c:pt>
                <c:pt idx="5">
                  <c:v>2</c:v>
                </c:pt>
                <c:pt idx="6">
                  <c:v>2</c:v>
                </c:pt>
                <c:pt idx="7">
                  <c:v>1</c:v>
                </c:pt>
                <c:pt idx="8">
                  <c:v>6</c:v>
                </c:pt>
                <c:pt idx="9">
                  <c:v>2</c:v>
                </c:pt>
                <c:pt idx="10">
                  <c:v>1</c:v>
                </c:pt>
                <c:pt idx="11">
                  <c:v>2</c:v>
                </c:pt>
                <c:pt idx="12">
                  <c:v>3</c:v>
                </c:pt>
                <c:pt idx="13">
                  <c:v>3</c:v>
                </c:pt>
                <c:pt idx="14">
                  <c:v>1</c:v>
                </c:pt>
                <c:pt idx="15">
                  <c:v>1</c:v>
                </c:pt>
                <c:pt idx="16">
                  <c:v>2</c:v>
                </c:pt>
                <c:pt idx="17">
                  <c:v>1</c:v>
                </c:pt>
                <c:pt idx="18">
                  <c:v>1</c:v>
                </c:pt>
                <c:pt idx="19">
                  <c:v>3</c:v>
                </c:pt>
                <c:pt idx="20">
                  <c:v>2</c:v>
                </c:pt>
                <c:pt idx="21">
                  <c:v>0</c:v>
                </c:pt>
                <c:pt idx="22">
                  <c:v>1</c:v>
                </c:pt>
                <c:pt idx="23">
                  <c:v>0</c:v>
                </c:pt>
              </c:numCache>
            </c:numRef>
          </c:val>
          <c:extLst>
            <c:ext xmlns:c16="http://schemas.microsoft.com/office/drawing/2014/chart" uri="{C3380CC4-5D6E-409C-BE32-E72D297353CC}">
              <c16:uniqueId val="{00000000-B191-1C40-BBD9-DA6A003A0B44}"/>
            </c:ext>
          </c:extLst>
        </c:ser>
        <c:dLbls>
          <c:showLegendKey val="0"/>
          <c:showVal val="0"/>
          <c:showCatName val="0"/>
          <c:showSerName val="0"/>
          <c:showPercent val="0"/>
          <c:showBubbleSize val="0"/>
        </c:dLbls>
        <c:gapWidth val="150"/>
        <c:overlap val="100"/>
        <c:axId val="2016716144"/>
        <c:axId val="2016710880"/>
      </c:barChart>
      <c:catAx>
        <c:axId val="201671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2016710880"/>
        <c:crosses val="autoZero"/>
        <c:auto val="1"/>
        <c:lblAlgn val="ctr"/>
        <c:lblOffset val="100"/>
        <c:noMultiLvlLbl val="0"/>
      </c:catAx>
      <c:valAx>
        <c:axId val="2016710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2016716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Apparent Goals of Russian Operations in Europe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barChart>
        <c:barDir val="bar"/>
        <c:grouping val="stacked"/>
        <c:varyColors val="0"/>
        <c:ser>
          <c:idx val="0"/>
          <c:order val="0"/>
          <c:tx>
            <c:strRef>
              <c:f>Visualization!$S$1</c:f>
              <c:strCache>
                <c:ptCount val="1"/>
                <c:pt idx="0">
                  <c:v>2022</c:v>
                </c:pt>
              </c:strCache>
            </c:strRef>
          </c:tx>
          <c:spPr>
            <a:solidFill>
              <a:schemeClr val="accent1"/>
            </a:solidFill>
            <a:ln>
              <a:noFill/>
            </a:ln>
            <a:effectLst/>
          </c:spPr>
          <c:invertIfNegative val="0"/>
          <c:cat>
            <c:strRef>
              <c:f>Visualization!$R$2:$R$13</c:f>
              <c:strCache>
                <c:ptCount val="12"/>
                <c:pt idx="0">
                  <c:v>Dissuade defection</c:v>
                </c:pt>
                <c:pt idx="1">
                  <c:v>Kill politician / head of state</c:v>
                </c:pt>
                <c:pt idx="2">
                  <c:v>Degrade military infrastructure</c:v>
                </c:pt>
                <c:pt idx="3">
                  <c:v>Intimidate politician / journalist</c:v>
                </c:pt>
                <c:pt idx="4">
                  <c:v>Compromise public utilities</c:v>
                </c:pt>
                <c:pt idx="5">
                  <c:v>Degrade energy supply / communications infrastructure</c:v>
                </c:pt>
                <c:pt idx="6">
                  <c:v>Disrupt (civil) aviation</c:v>
                </c:pt>
                <c:pt idx="7">
                  <c:v>Inflict economic damage</c:v>
                </c:pt>
                <c:pt idx="8">
                  <c:v>Preparation for potential sabotage</c:v>
                </c:pt>
                <c:pt idx="9">
                  <c:v>Disrupt (military) aid to Ukraine</c:v>
                </c:pt>
                <c:pt idx="10">
                  <c:v>Compromise domestic / EU politics</c:v>
                </c:pt>
                <c:pt idx="11">
                  <c:v>Disrupt daily life</c:v>
                </c:pt>
              </c:strCache>
            </c:strRef>
          </c:cat>
          <c:val>
            <c:numRef>
              <c:f>Visualization!$S$2:$S$13</c:f>
              <c:numCache>
                <c:formatCode>General</c:formatCode>
                <c:ptCount val="12"/>
                <c:pt idx="0">
                  <c:v>0</c:v>
                </c:pt>
                <c:pt idx="1">
                  <c:v>0</c:v>
                </c:pt>
                <c:pt idx="2">
                  <c:v>0</c:v>
                </c:pt>
                <c:pt idx="3">
                  <c:v>0</c:v>
                </c:pt>
                <c:pt idx="4">
                  <c:v>0</c:v>
                </c:pt>
                <c:pt idx="5">
                  <c:v>0</c:v>
                </c:pt>
                <c:pt idx="6">
                  <c:v>1</c:v>
                </c:pt>
                <c:pt idx="7">
                  <c:v>0</c:v>
                </c:pt>
                <c:pt idx="8">
                  <c:v>4</c:v>
                </c:pt>
                <c:pt idx="9">
                  <c:v>7</c:v>
                </c:pt>
                <c:pt idx="10">
                  <c:v>2</c:v>
                </c:pt>
                <c:pt idx="11">
                  <c:v>1</c:v>
                </c:pt>
              </c:numCache>
            </c:numRef>
          </c:val>
          <c:extLst>
            <c:ext xmlns:c16="http://schemas.microsoft.com/office/drawing/2014/chart" uri="{C3380CC4-5D6E-409C-BE32-E72D297353CC}">
              <c16:uniqueId val="{00000000-A40E-1F44-933C-059ABBF91908}"/>
            </c:ext>
          </c:extLst>
        </c:ser>
        <c:ser>
          <c:idx val="1"/>
          <c:order val="1"/>
          <c:tx>
            <c:strRef>
              <c:f>Visualization!$T$1</c:f>
              <c:strCache>
                <c:ptCount val="1"/>
                <c:pt idx="0">
                  <c:v>2023</c:v>
                </c:pt>
              </c:strCache>
            </c:strRef>
          </c:tx>
          <c:spPr>
            <a:solidFill>
              <a:schemeClr val="accent2"/>
            </a:solidFill>
            <a:ln>
              <a:noFill/>
            </a:ln>
            <a:effectLst/>
          </c:spPr>
          <c:invertIfNegative val="0"/>
          <c:cat>
            <c:strRef>
              <c:f>Visualization!$R$2:$R$13</c:f>
              <c:strCache>
                <c:ptCount val="12"/>
                <c:pt idx="0">
                  <c:v>Dissuade defection</c:v>
                </c:pt>
                <c:pt idx="1">
                  <c:v>Kill politician / head of state</c:v>
                </c:pt>
                <c:pt idx="2">
                  <c:v>Degrade military infrastructure</c:v>
                </c:pt>
                <c:pt idx="3">
                  <c:v>Intimidate politician / journalist</c:v>
                </c:pt>
                <c:pt idx="4">
                  <c:v>Compromise public utilities</c:v>
                </c:pt>
                <c:pt idx="5">
                  <c:v>Degrade energy supply / communications infrastructure</c:v>
                </c:pt>
                <c:pt idx="6">
                  <c:v>Disrupt (civil) aviation</c:v>
                </c:pt>
                <c:pt idx="7">
                  <c:v>Inflict economic damage</c:v>
                </c:pt>
                <c:pt idx="8">
                  <c:v>Preparation for potential sabotage</c:v>
                </c:pt>
                <c:pt idx="9">
                  <c:v>Disrupt (military) aid to Ukraine</c:v>
                </c:pt>
                <c:pt idx="10">
                  <c:v>Compromise domestic / EU politics</c:v>
                </c:pt>
                <c:pt idx="11">
                  <c:v>Disrupt daily life</c:v>
                </c:pt>
              </c:strCache>
            </c:strRef>
          </c:cat>
          <c:val>
            <c:numRef>
              <c:f>Visualization!$T$2:$T$13</c:f>
              <c:numCache>
                <c:formatCode>General</c:formatCode>
                <c:ptCount val="12"/>
                <c:pt idx="0">
                  <c:v>0</c:v>
                </c:pt>
                <c:pt idx="1">
                  <c:v>0</c:v>
                </c:pt>
                <c:pt idx="2">
                  <c:v>1</c:v>
                </c:pt>
                <c:pt idx="3">
                  <c:v>2</c:v>
                </c:pt>
                <c:pt idx="4">
                  <c:v>0</c:v>
                </c:pt>
                <c:pt idx="5">
                  <c:v>1</c:v>
                </c:pt>
                <c:pt idx="6">
                  <c:v>1</c:v>
                </c:pt>
                <c:pt idx="7">
                  <c:v>0</c:v>
                </c:pt>
                <c:pt idx="8">
                  <c:v>1</c:v>
                </c:pt>
                <c:pt idx="9">
                  <c:v>8</c:v>
                </c:pt>
                <c:pt idx="10">
                  <c:v>6</c:v>
                </c:pt>
                <c:pt idx="11">
                  <c:v>7</c:v>
                </c:pt>
              </c:numCache>
            </c:numRef>
          </c:val>
          <c:extLst>
            <c:ext xmlns:c16="http://schemas.microsoft.com/office/drawing/2014/chart" uri="{C3380CC4-5D6E-409C-BE32-E72D297353CC}">
              <c16:uniqueId val="{00000001-A40E-1F44-933C-059ABBF91908}"/>
            </c:ext>
          </c:extLst>
        </c:ser>
        <c:ser>
          <c:idx val="2"/>
          <c:order val="2"/>
          <c:tx>
            <c:strRef>
              <c:f>Visualization!$U$1</c:f>
              <c:strCache>
                <c:ptCount val="1"/>
                <c:pt idx="0">
                  <c:v>2024</c:v>
                </c:pt>
              </c:strCache>
            </c:strRef>
          </c:tx>
          <c:spPr>
            <a:solidFill>
              <a:schemeClr val="accent3"/>
            </a:solidFill>
            <a:ln>
              <a:noFill/>
            </a:ln>
            <a:effectLst/>
          </c:spPr>
          <c:invertIfNegative val="0"/>
          <c:cat>
            <c:strRef>
              <c:f>Visualization!$R$2:$R$13</c:f>
              <c:strCache>
                <c:ptCount val="12"/>
                <c:pt idx="0">
                  <c:v>Dissuade defection</c:v>
                </c:pt>
                <c:pt idx="1">
                  <c:v>Kill politician / head of state</c:v>
                </c:pt>
                <c:pt idx="2">
                  <c:v>Degrade military infrastructure</c:v>
                </c:pt>
                <c:pt idx="3">
                  <c:v>Intimidate politician / journalist</c:v>
                </c:pt>
                <c:pt idx="4">
                  <c:v>Compromise public utilities</c:v>
                </c:pt>
                <c:pt idx="5">
                  <c:v>Degrade energy supply / communications infrastructure</c:v>
                </c:pt>
                <c:pt idx="6">
                  <c:v>Disrupt (civil) aviation</c:v>
                </c:pt>
                <c:pt idx="7">
                  <c:v>Inflict economic damage</c:v>
                </c:pt>
                <c:pt idx="8">
                  <c:v>Preparation for potential sabotage</c:v>
                </c:pt>
                <c:pt idx="9">
                  <c:v>Disrupt (military) aid to Ukraine</c:v>
                </c:pt>
                <c:pt idx="10">
                  <c:v>Compromise domestic / EU politics</c:v>
                </c:pt>
                <c:pt idx="11">
                  <c:v>Disrupt daily life</c:v>
                </c:pt>
              </c:strCache>
            </c:strRef>
          </c:cat>
          <c:val>
            <c:numRef>
              <c:f>Visualization!$U$2:$U$13</c:f>
              <c:numCache>
                <c:formatCode>General</c:formatCode>
                <c:ptCount val="12"/>
                <c:pt idx="0">
                  <c:v>1</c:v>
                </c:pt>
                <c:pt idx="1">
                  <c:v>1</c:v>
                </c:pt>
                <c:pt idx="2">
                  <c:v>0</c:v>
                </c:pt>
                <c:pt idx="3">
                  <c:v>0</c:v>
                </c:pt>
                <c:pt idx="4">
                  <c:v>3</c:v>
                </c:pt>
                <c:pt idx="5">
                  <c:v>3</c:v>
                </c:pt>
                <c:pt idx="6">
                  <c:v>2</c:v>
                </c:pt>
                <c:pt idx="7">
                  <c:v>12</c:v>
                </c:pt>
                <c:pt idx="8">
                  <c:v>6</c:v>
                </c:pt>
                <c:pt idx="9">
                  <c:v>11</c:v>
                </c:pt>
                <c:pt idx="10">
                  <c:v>16</c:v>
                </c:pt>
                <c:pt idx="11">
                  <c:v>28</c:v>
                </c:pt>
              </c:numCache>
            </c:numRef>
          </c:val>
          <c:extLst>
            <c:ext xmlns:c16="http://schemas.microsoft.com/office/drawing/2014/chart" uri="{C3380CC4-5D6E-409C-BE32-E72D297353CC}">
              <c16:uniqueId val="{00000002-A40E-1F44-933C-059ABBF91908}"/>
            </c:ext>
          </c:extLst>
        </c:ser>
        <c:ser>
          <c:idx val="3"/>
          <c:order val="3"/>
          <c:tx>
            <c:strRef>
              <c:f>Visualization!$V$1</c:f>
              <c:strCache>
                <c:ptCount val="1"/>
                <c:pt idx="0">
                  <c:v>2025</c:v>
                </c:pt>
              </c:strCache>
            </c:strRef>
          </c:tx>
          <c:spPr>
            <a:solidFill>
              <a:schemeClr val="accent4"/>
            </a:solidFill>
            <a:ln>
              <a:noFill/>
            </a:ln>
            <a:effectLst/>
          </c:spPr>
          <c:invertIfNegative val="0"/>
          <c:cat>
            <c:strRef>
              <c:f>Visualization!$R$2:$R$13</c:f>
              <c:strCache>
                <c:ptCount val="12"/>
                <c:pt idx="0">
                  <c:v>Dissuade defection</c:v>
                </c:pt>
                <c:pt idx="1">
                  <c:v>Kill politician / head of state</c:v>
                </c:pt>
                <c:pt idx="2">
                  <c:v>Degrade military infrastructure</c:v>
                </c:pt>
                <c:pt idx="3">
                  <c:v>Intimidate politician / journalist</c:v>
                </c:pt>
                <c:pt idx="4">
                  <c:v>Compromise public utilities</c:v>
                </c:pt>
                <c:pt idx="5">
                  <c:v>Degrade energy supply / communications infrastructure</c:v>
                </c:pt>
                <c:pt idx="6">
                  <c:v>Disrupt (civil) aviation</c:v>
                </c:pt>
                <c:pt idx="7">
                  <c:v>Inflict economic damage</c:v>
                </c:pt>
                <c:pt idx="8">
                  <c:v>Preparation for potential sabotage</c:v>
                </c:pt>
                <c:pt idx="9">
                  <c:v>Disrupt (military) aid to Ukraine</c:v>
                </c:pt>
                <c:pt idx="10">
                  <c:v>Compromise domestic / EU politics</c:v>
                </c:pt>
                <c:pt idx="11">
                  <c:v>Disrupt daily life</c:v>
                </c:pt>
              </c:strCache>
            </c:strRef>
          </c:cat>
          <c:val>
            <c:numRef>
              <c:f>Visualization!$V$2:$V$13</c:f>
              <c:numCache>
                <c:formatCode>General</c:formatCode>
                <c:ptCount val="12"/>
                <c:pt idx="0">
                  <c:v>0</c:v>
                </c:pt>
                <c:pt idx="1">
                  <c:v>0</c:v>
                </c:pt>
                <c:pt idx="2">
                  <c:v>1</c:v>
                </c:pt>
                <c:pt idx="3">
                  <c:v>1</c:v>
                </c:pt>
                <c:pt idx="4">
                  <c:v>1</c:v>
                </c:pt>
                <c:pt idx="5">
                  <c:v>2</c:v>
                </c:pt>
                <c:pt idx="6">
                  <c:v>7</c:v>
                </c:pt>
                <c:pt idx="7">
                  <c:v>1</c:v>
                </c:pt>
                <c:pt idx="8">
                  <c:v>3</c:v>
                </c:pt>
                <c:pt idx="9">
                  <c:v>4</c:v>
                </c:pt>
                <c:pt idx="10">
                  <c:v>8</c:v>
                </c:pt>
                <c:pt idx="11">
                  <c:v>10</c:v>
                </c:pt>
              </c:numCache>
            </c:numRef>
          </c:val>
          <c:extLst>
            <c:ext xmlns:c16="http://schemas.microsoft.com/office/drawing/2014/chart" uri="{C3380CC4-5D6E-409C-BE32-E72D297353CC}">
              <c16:uniqueId val="{00000000-A21B-8848-AF1D-320E162640FA}"/>
            </c:ext>
          </c:extLst>
        </c:ser>
        <c:dLbls>
          <c:showLegendKey val="0"/>
          <c:showVal val="0"/>
          <c:showCatName val="0"/>
          <c:showSerName val="0"/>
          <c:showPercent val="0"/>
          <c:showBubbleSize val="0"/>
        </c:dLbls>
        <c:gapWidth val="150"/>
        <c:overlap val="100"/>
        <c:axId val="2104277312"/>
        <c:axId val="2104242640"/>
      </c:barChart>
      <c:catAx>
        <c:axId val="2104277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2104242640"/>
        <c:crosses val="autoZero"/>
        <c:auto val="1"/>
        <c:lblAlgn val="ctr"/>
        <c:lblOffset val="100"/>
        <c:noMultiLvlLbl val="0"/>
      </c:catAx>
      <c:valAx>
        <c:axId val="2104242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2104277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kern="1200" spc="0" baseline="0">
                <a:solidFill>
                  <a:sysClr val="windowText" lastClr="000000">
                    <a:lumMod val="65000"/>
                    <a:lumOff val="35000"/>
                  </a:sysClr>
                </a:solidFill>
              </a:rPr>
              <a:t>Types of Russian Operations in Europe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barChart>
        <c:barDir val="bar"/>
        <c:grouping val="stacked"/>
        <c:varyColors val="0"/>
        <c:ser>
          <c:idx val="0"/>
          <c:order val="0"/>
          <c:tx>
            <c:strRef>
              <c:f>Visualization!$L$1</c:f>
              <c:strCache>
                <c:ptCount val="1"/>
                <c:pt idx="0">
                  <c:v>2022</c:v>
                </c:pt>
              </c:strCache>
            </c:strRef>
          </c:tx>
          <c:spPr>
            <a:solidFill>
              <a:schemeClr val="accent1"/>
            </a:solidFill>
            <a:ln>
              <a:noFill/>
            </a:ln>
            <a:effectLst/>
          </c:spPr>
          <c:invertIfNegative val="0"/>
          <c:cat>
            <c:strRef>
              <c:f>Visualization!$K$2:$K$11</c:f>
              <c:strCache>
                <c:ptCount val="10"/>
                <c:pt idx="0">
                  <c:v>Assassination**</c:v>
                </c:pt>
                <c:pt idx="1">
                  <c:v>Unknown</c:v>
                </c:pt>
                <c:pt idx="2">
                  <c:v>Disruptive immigration</c:v>
                </c:pt>
                <c:pt idx="3">
                  <c:v>Terrorism*</c:v>
                </c:pt>
                <c:pt idx="4">
                  <c:v>Vandalism</c:v>
                </c:pt>
                <c:pt idx="5">
                  <c:v>Disruption</c:v>
                </c:pt>
                <c:pt idx="6">
                  <c:v>Arson*</c:v>
                </c:pt>
                <c:pt idx="7">
                  <c:v>Reconnaissance</c:v>
                </c:pt>
                <c:pt idx="8">
                  <c:v>Sabotage*</c:v>
                </c:pt>
                <c:pt idx="9">
                  <c:v>Influence operation</c:v>
                </c:pt>
              </c:strCache>
            </c:strRef>
          </c:cat>
          <c:val>
            <c:numRef>
              <c:f>Visualization!$L$2:$L$11</c:f>
              <c:numCache>
                <c:formatCode>General</c:formatCode>
                <c:ptCount val="10"/>
                <c:pt idx="0">
                  <c:v>0</c:v>
                </c:pt>
                <c:pt idx="1">
                  <c:v>0</c:v>
                </c:pt>
                <c:pt idx="2">
                  <c:v>0</c:v>
                </c:pt>
                <c:pt idx="3">
                  <c:v>1</c:v>
                </c:pt>
                <c:pt idx="4">
                  <c:v>1</c:v>
                </c:pt>
                <c:pt idx="5">
                  <c:v>1</c:v>
                </c:pt>
                <c:pt idx="6">
                  <c:v>0</c:v>
                </c:pt>
                <c:pt idx="7">
                  <c:v>4</c:v>
                </c:pt>
                <c:pt idx="8">
                  <c:v>1</c:v>
                </c:pt>
                <c:pt idx="9">
                  <c:v>6</c:v>
                </c:pt>
              </c:numCache>
            </c:numRef>
          </c:val>
          <c:extLst>
            <c:ext xmlns:c16="http://schemas.microsoft.com/office/drawing/2014/chart" uri="{C3380CC4-5D6E-409C-BE32-E72D297353CC}">
              <c16:uniqueId val="{00000000-F807-AD47-BC14-D0A58AEC1831}"/>
            </c:ext>
          </c:extLst>
        </c:ser>
        <c:ser>
          <c:idx val="1"/>
          <c:order val="1"/>
          <c:tx>
            <c:strRef>
              <c:f>Visualization!$M$1</c:f>
              <c:strCache>
                <c:ptCount val="1"/>
                <c:pt idx="0">
                  <c:v>2023</c:v>
                </c:pt>
              </c:strCache>
            </c:strRef>
          </c:tx>
          <c:spPr>
            <a:solidFill>
              <a:schemeClr val="accent2"/>
            </a:solidFill>
            <a:ln>
              <a:noFill/>
            </a:ln>
            <a:effectLst/>
          </c:spPr>
          <c:invertIfNegative val="0"/>
          <c:cat>
            <c:strRef>
              <c:f>Visualization!$K$2:$K$11</c:f>
              <c:strCache>
                <c:ptCount val="10"/>
                <c:pt idx="0">
                  <c:v>Assassination**</c:v>
                </c:pt>
                <c:pt idx="1">
                  <c:v>Unknown</c:v>
                </c:pt>
                <c:pt idx="2">
                  <c:v>Disruptive immigration</c:v>
                </c:pt>
                <c:pt idx="3">
                  <c:v>Terrorism*</c:v>
                </c:pt>
                <c:pt idx="4">
                  <c:v>Vandalism</c:v>
                </c:pt>
                <c:pt idx="5">
                  <c:v>Disruption</c:v>
                </c:pt>
                <c:pt idx="6">
                  <c:v>Arson*</c:v>
                </c:pt>
                <c:pt idx="7">
                  <c:v>Reconnaissance</c:v>
                </c:pt>
                <c:pt idx="8">
                  <c:v>Sabotage*</c:v>
                </c:pt>
                <c:pt idx="9">
                  <c:v>Influence operation</c:v>
                </c:pt>
              </c:strCache>
            </c:strRef>
          </c:cat>
          <c:val>
            <c:numRef>
              <c:f>Visualization!$M$2:$M$11</c:f>
              <c:numCache>
                <c:formatCode>General</c:formatCode>
                <c:ptCount val="10"/>
                <c:pt idx="0">
                  <c:v>0</c:v>
                </c:pt>
                <c:pt idx="1">
                  <c:v>0</c:v>
                </c:pt>
                <c:pt idx="2">
                  <c:v>3</c:v>
                </c:pt>
                <c:pt idx="3">
                  <c:v>1</c:v>
                </c:pt>
                <c:pt idx="4">
                  <c:v>4</c:v>
                </c:pt>
                <c:pt idx="5">
                  <c:v>1</c:v>
                </c:pt>
                <c:pt idx="6">
                  <c:v>0</c:v>
                </c:pt>
                <c:pt idx="7">
                  <c:v>1</c:v>
                </c:pt>
                <c:pt idx="8">
                  <c:v>4</c:v>
                </c:pt>
                <c:pt idx="9">
                  <c:v>10</c:v>
                </c:pt>
              </c:numCache>
            </c:numRef>
          </c:val>
          <c:extLst>
            <c:ext xmlns:c16="http://schemas.microsoft.com/office/drawing/2014/chart" uri="{C3380CC4-5D6E-409C-BE32-E72D297353CC}">
              <c16:uniqueId val="{00000001-F807-AD47-BC14-D0A58AEC1831}"/>
            </c:ext>
          </c:extLst>
        </c:ser>
        <c:ser>
          <c:idx val="2"/>
          <c:order val="2"/>
          <c:tx>
            <c:strRef>
              <c:f>Visualization!$N$1</c:f>
              <c:strCache>
                <c:ptCount val="1"/>
                <c:pt idx="0">
                  <c:v>2024</c:v>
                </c:pt>
              </c:strCache>
            </c:strRef>
          </c:tx>
          <c:spPr>
            <a:solidFill>
              <a:schemeClr val="accent3"/>
            </a:solidFill>
            <a:ln>
              <a:noFill/>
            </a:ln>
            <a:effectLst/>
          </c:spPr>
          <c:invertIfNegative val="0"/>
          <c:cat>
            <c:strRef>
              <c:f>Visualization!$K$2:$K$11</c:f>
              <c:strCache>
                <c:ptCount val="10"/>
                <c:pt idx="0">
                  <c:v>Assassination**</c:v>
                </c:pt>
                <c:pt idx="1">
                  <c:v>Unknown</c:v>
                </c:pt>
                <c:pt idx="2">
                  <c:v>Disruptive immigration</c:v>
                </c:pt>
                <c:pt idx="3">
                  <c:v>Terrorism*</c:v>
                </c:pt>
                <c:pt idx="4">
                  <c:v>Vandalism</c:v>
                </c:pt>
                <c:pt idx="5">
                  <c:v>Disruption</c:v>
                </c:pt>
                <c:pt idx="6">
                  <c:v>Arson*</c:v>
                </c:pt>
                <c:pt idx="7">
                  <c:v>Reconnaissance</c:v>
                </c:pt>
                <c:pt idx="8">
                  <c:v>Sabotage*</c:v>
                </c:pt>
                <c:pt idx="9">
                  <c:v>Influence operation</c:v>
                </c:pt>
              </c:strCache>
            </c:strRef>
          </c:cat>
          <c:val>
            <c:numRef>
              <c:f>Visualization!$N$2:$N$11</c:f>
              <c:numCache>
                <c:formatCode>General</c:formatCode>
                <c:ptCount val="10"/>
                <c:pt idx="0">
                  <c:v>3</c:v>
                </c:pt>
                <c:pt idx="1">
                  <c:v>2</c:v>
                </c:pt>
                <c:pt idx="2">
                  <c:v>1</c:v>
                </c:pt>
                <c:pt idx="3">
                  <c:v>5</c:v>
                </c:pt>
                <c:pt idx="4">
                  <c:v>6</c:v>
                </c:pt>
                <c:pt idx="5">
                  <c:v>2</c:v>
                </c:pt>
                <c:pt idx="6">
                  <c:v>13</c:v>
                </c:pt>
                <c:pt idx="7">
                  <c:v>6</c:v>
                </c:pt>
                <c:pt idx="8">
                  <c:v>16</c:v>
                </c:pt>
                <c:pt idx="9">
                  <c:v>17</c:v>
                </c:pt>
              </c:numCache>
            </c:numRef>
          </c:val>
          <c:extLst>
            <c:ext xmlns:c16="http://schemas.microsoft.com/office/drawing/2014/chart" uri="{C3380CC4-5D6E-409C-BE32-E72D297353CC}">
              <c16:uniqueId val="{00000002-F807-AD47-BC14-D0A58AEC1831}"/>
            </c:ext>
          </c:extLst>
        </c:ser>
        <c:ser>
          <c:idx val="3"/>
          <c:order val="3"/>
          <c:tx>
            <c:strRef>
              <c:f>Visualization!$O$1</c:f>
              <c:strCache>
                <c:ptCount val="1"/>
                <c:pt idx="0">
                  <c:v>2025</c:v>
                </c:pt>
              </c:strCache>
            </c:strRef>
          </c:tx>
          <c:spPr>
            <a:solidFill>
              <a:schemeClr val="accent4"/>
            </a:solidFill>
            <a:ln>
              <a:noFill/>
            </a:ln>
            <a:effectLst/>
          </c:spPr>
          <c:invertIfNegative val="0"/>
          <c:cat>
            <c:strRef>
              <c:f>Visualization!$K$2:$K$11</c:f>
              <c:strCache>
                <c:ptCount val="10"/>
                <c:pt idx="0">
                  <c:v>Assassination**</c:v>
                </c:pt>
                <c:pt idx="1">
                  <c:v>Unknown</c:v>
                </c:pt>
                <c:pt idx="2">
                  <c:v>Disruptive immigration</c:v>
                </c:pt>
                <c:pt idx="3">
                  <c:v>Terrorism*</c:v>
                </c:pt>
                <c:pt idx="4">
                  <c:v>Vandalism</c:v>
                </c:pt>
                <c:pt idx="5">
                  <c:v>Disruption</c:v>
                </c:pt>
                <c:pt idx="6">
                  <c:v>Arson*</c:v>
                </c:pt>
                <c:pt idx="7">
                  <c:v>Reconnaissance</c:v>
                </c:pt>
                <c:pt idx="8">
                  <c:v>Sabotage*</c:v>
                </c:pt>
                <c:pt idx="9">
                  <c:v>Influence operation</c:v>
                </c:pt>
              </c:strCache>
            </c:strRef>
          </c:cat>
          <c:val>
            <c:numRef>
              <c:f>Visualization!$O$2:$O$11</c:f>
              <c:numCache>
                <c:formatCode>General</c:formatCode>
                <c:ptCount val="10"/>
                <c:pt idx="0">
                  <c:v>0</c:v>
                </c:pt>
                <c:pt idx="1">
                  <c:v>2</c:v>
                </c:pt>
                <c:pt idx="2">
                  <c:v>1</c:v>
                </c:pt>
                <c:pt idx="3">
                  <c:v>2</c:v>
                </c:pt>
                <c:pt idx="4">
                  <c:v>1</c:v>
                </c:pt>
                <c:pt idx="5">
                  <c:v>9</c:v>
                </c:pt>
                <c:pt idx="6">
                  <c:v>1</c:v>
                </c:pt>
                <c:pt idx="7">
                  <c:v>7</c:v>
                </c:pt>
                <c:pt idx="8">
                  <c:v>9</c:v>
                </c:pt>
                <c:pt idx="9">
                  <c:v>10</c:v>
                </c:pt>
              </c:numCache>
            </c:numRef>
          </c:val>
          <c:extLst>
            <c:ext xmlns:c16="http://schemas.microsoft.com/office/drawing/2014/chart" uri="{C3380CC4-5D6E-409C-BE32-E72D297353CC}">
              <c16:uniqueId val="{00000000-E294-DF40-A2BC-5F36BEE8DCF4}"/>
            </c:ext>
          </c:extLst>
        </c:ser>
        <c:dLbls>
          <c:showLegendKey val="0"/>
          <c:showVal val="0"/>
          <c:showCatName val="0"/>
          <c:showSerName val="0"/>
          <c:showPercent val="0"/>
          <c:showBubbleSize val="0"/>
        </c:dLbls>
        <c:gapWidth val="150"/>
        <c:overlap val="100"/>
        <c:axId val="2016893616"/>
        <c:axId val="2016895344"/>
      </c:barChart>
      <c:catAx>
        <c:axId val="2016893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2016895344"/>
        <c:crosses val="autoZero"/>
        <c:auto val="1"/>
        <c:lblAlgn val="ctr"/>
        <c:lblOffset val="100"/>
        <c:noMultiLvlLbl val="0"/>
      </c:catAx>
      <c:valAx>
        <c:axId val="2016895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2016893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Russian Hybrid Operations Against Europe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L"/>
        </a:p>
      </c:txPr>
    </c:title>
    <c:autoTitleDeleted val="0"/>
    <c:plotArea>
      <c:layout/>
      <c:barChart>
        <c:barDir val="col"/>
        <c:grouping val="clustered"/>
        <c:varyColors val="0"/>
        <c:ser>
          <c:idx val="0"/>
          <c:order val="0"/>
          <c:tx>
            <c:strRef>
              <c:f>Visualization!$B$1</c:f>
              <c:strCache>
                <c:ptCount val="1"/>
                <c:pt idx="0">
                  <c:v>No. Of incidents</c:v>
                </c:pt>
              </c:strCache>
            </c:strRef>
          </c:tx>
          <c:spPr>
            <a:solidFill>
              <a:schemeClr val="accent1"/>
            </a:solidFill>
            <a:ln>
              <a:noFill/>
            </a:ln>
            <a:effectLst/>
          </c:spPr>
          <c:invertIfNegative val="0"/>
          <c:cat>
            <c:numRef>
              <c:f>Visualization!$A$2:$A$5</c:f>
              <c:numCache>
                <c:formatCode>General</c:formatCode>
                <c:ptCount val="4"/>
                <c:pt idx="0">
                  <c:v>2022</c:v>
                </c:pt>
                <c:pt idx="1">
                  <c:v>2023</c:v>
                </c:pt>
                <c:pt idx="2">
                  <c:v>2024</c:v>
                </c:pt>
                <c:pt idx="3">
                  <c:v>2025</c:v>
                </c:pt>
              </c:numCache>
            </c:numRef>
          </c:cat>
          <c:val>
            <c:numRef>
              <c:f>Visualization!$B$2:$B$5</c:f>
              <c:numCache>
                <c:formatCode>General</c:formatCode>
                <c:ptCount val="4"/>
                <c:pt idx="0">
                  <c:v>13</c:v>
                </c:pt>
                <c:pt idx="1">
                  <c:v>24</c:v>
                </c:pt>
                <c:pt idx="2">
                  <c:v>69</c:v>
                </c:pt>
                <c:pt idx="3">
                  <c:v>40</c:v>
                </c:pt>
              </c:numCache>
            </c:numRef>
          </c:val>
          <c:extLst>
            <c:ext xmlns:c16="http://schemas.microsoft.com/office/drawing/2014/chart" uri="{C3380CC4-5D6E-409C-BE32-E72D297353CC}">
              <c16:uniqueId val="{00000000-6BB9-4046-A82F-7DA58644B376}"/>
            </c:ext>
          </c:extLst>
        </c:ser>
        <c:ser>
          <c:idx val="1"/>
          <c:order val="1"/>
          <c:tx>
            <c:strRef>
              <c:f>Visualization!$C$1</c:f>
              <c:strCache>
                <c:ptCount val="1"/>
                <c:pt idx="0">
                  <c:v>Excluded incidents</c:v>
                </c:pt>
              </c:strCache>
            </c:strRef>
          </c:tx>
          <c:spPr>
            <a:solidFill>
              <a:schemeClr val="accent2"/>
            </a:solidFill>
            <a:ln>
              <a:noFill/>
            </a:ln>
            <a:effectLst/>
          </c:spPr>
          <c:invertIfNegative val="0"/>
          <c:cat>
            <c:numRef>
              <c:f>Visualization!$A$2:$A$5</c:f>
              <c:numCache>
                <c:formatCode>General</c:formatCode>
                <c:ptCount val="4"/>
                <c:pt idx="0">
                  <c:v>2022</c:v>
                </c:pt>
                <c:pt idx="1">
                  <c:v>2023</c:v>
                </c:pt>
                <c:pt idx="2">
                  <c:v>2024</c:v>
                </c:pt>
                <c:pt idx="3">
                  <c:v>2025</c:v>
                </c:pt>
              </c:numCache>
            </c:numRef>
          </c:cat>
          <c:val>
            <c:numRef>
              <c:f>Visualization!$C$2:$C$5</c:f>
              <c:numCache>
                <c:formatCode>General</c:formatCode>
                <c:ptCount val="4"/>
                <c:pt idx="0">
                  <c:v>11</c:v>
                </c:pt>
                <c:pt idx="1">
                  <c:v>3</c:v>
                </c:pt>
                <c:pt idx="2">
                  <c:v>25</c:v>
                </c:pt>
                <c:pt idx="3">
                  <c:v>39</c:v>
                </c:pt>
              </c:numCache>
            </c:numRef>
          </c:val>
          <c:extLst>
            <c:ext xmlns:c16="http://schemas.microsoft.com/office/drawing/2014/chart" uri="{C3380CC4-5D6E-409C-BE32-E72D297353CC}">
              <c16:uniqueId val="{00000001-6BB9-4046-A82F-7DA58644B376}"/>
            </c:ext>
          </c:extLst>
        </c:ser>
        <c:dLbls>
          <c:showLegendKey val="0"/>
          <c:showVal val="0"/>
          <c:showCatName val="0"/>
          <c:showSerName val="0"/>
          <c:showPercent val="0"/>
          <c:showBubbleSize val="0"/>
        </c:dLbls>
        <c:gapWidth val="219"/>
        <c:overlap val="-27"/>
        <c:axId val="1854786016"/>
        <c:axId val="1854848048"/>
      </c:barChart>
      <c:catAx>
        <c:axId val="185478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854848048"/>
        <c:crosses val="autoZero"/>
        <c:auto val="1"/>
        <c:lblAlgn val="ctr"/>
        <c:lblOffset val="100"/>
        <c:noMultiLvlLbl val="0"/>
      </c:catAx>
      <c:valAx>
        <c:axId val="1854848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1854786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Russian hybrid operations</a:t>
            </a:r>
            <a:r>
              <a:rPr lang="en-GB" baseline="0"/>
              <a:t> against Europe, 2022-2025</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stacked"/>
        <c:varyColors val="0"/>
        <c:ser>
          <c:idx val="0"/>
          <c:order val="0"/>
          <c:tx>
            <c:strRef>
              <c:f>Visualization!$G$1</c:f>
              <c:strCache>
                <c:ptCount val="1"/>
                <c:pt idx="0">
                  <c:v>Multi-month operations</c:v>
                </c:pt>
              </c:strCache>
            </c:strRef>
          </c:tx>
          <c:spPr>
            <a:solidFill>
              <a:schemeClr val="accent1"/>
            </a:solidFill>
            <a:ln>
              <a:noFill/>
            </a:ln>
            <a:effectLst/>
          </c:spPr>
          <c:invertIfNegative val="0"/>
          <c:cat>
            <c:numRef>
              <c:f>Visualization!$F$2:$F$49</c:f>
              <c:numCache>
                <c:formatCode>mmm\-yy</c:formatCode>
                <c:ptCount val="4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pt idx="42">
                  <c:v>45839</c:v>
                </c:pt>
                <c:pt idx="43">
                  <c:v>45870</c:v>
                </c:pt>
                <c:pt idx="44">
                  <c:v>45901</c:v>
                </c:pt>
                <c:pt idx="45">
                  <c:v>45931</c:v>
                </c:pt>
                <c:pt idx="46">
                  <c:v>45962</c:v>
                </c:pt>
                <c:pt idx="47">
                  <c:v>45992</c:v>
                </c:pt>
              </c:numCache>
            </c:numRef>
          </c:cat>
          <c:val>
            <c:numRef>
              <c:f>Visualization!$G$2:$G$49</c:f>
              <c:numCache>
                <c:formatCode>General</c:formatCode>
                <c:ptCount val="48"/>
                <c:pt idx="0">
                  <c:v>1</c:v>
                </c:pt>
                <c:pt idx="1">
                  <c:v>1</c:v>
                </c:pt>
                <c:pt idx="2">
                  <c:v>2</c:v>
                </c:pt>
                <c:pt idx="3">
                  <c:v>2</c:v>
                </c:pt>
                <c:pt idx="4">
                  <c:v>3</c:v>
                </c:pt>
                <c:pt idx="5">
                  <c:v>4</c:v>
                </c:pt>
                <c:pt idx="6">
                  <c:v>4</c:v>
                </c:pt>
                <c:pt idx="7">
                  <c:v>4</c:v>
                </c:pt>
                <c:pt idx="8">
                  <c:v>5</c:v>
                </c:pt>
                <c:pt idx="9">
                  <c:v>6</c:v>
                </c:pt>
                <c:pt idx="10">
                  <c:v>6</c:v>
                </c:pt>
                <c:pt idx="11">
                  <c:v>6</c:v>
                </c:pt>
                <c:pt idx="12">
                  <c:v>7</c:v>
                </c:pt>
                <c:pt idx="13">
                  <c:v>7</c:v>
                </c:pt>
                <c:pt idx="14">
                  <c:v>8</c:v>
                </c:pt>
                <c:pt idx="15">
                  <c:v>7</c:v>
                </c:pt>
                <c:pt idx="16">
                  <c:v>6</c:v>
                </c:pt>
                <c:pt idx="17">
                  <c:v>7</c:v>
                </c:pt>
                <c:pt idx="18">
                  <c:v>7</c:v>
                </c:pt>
                <c:pt idx="19">
                  <c:v>10</c:v>
                </c:pt>
                <c:pt idx="20">
                  <c:v>11</c:v>
                </c:pt>
                <c:pt idx="21">
                  <c:v>11</c:v>
                </c:pt>
                <c:pt idx="22">
                  <c:v>11</c:v>
                </c:pt>
                <c:pt idx="23">
                  <c:v>11</c:v>
                </c:pt>
                <c:pt idx="24">
                  <c:v>9</c:v>
                </c:pt>
                <c:pt idx="25">
                  <c:v>10</c:v>
                </c:pt>
                <c:pt idx="26">
                  <c:v>10</c:v>
                </c:pt>
                <c:pt idx="27">
                  <c:v>9</c:v>
                </c:pt>
                <c:pt idx="28">
                  <c:v>9</c:v>
                </c:pt>
                <c:pt idx="29">
                  <c:v>8</c:v>
                </c:pt>
                <c:pt idx="30">
                  <c:v>7</c:v>
                </c:pt>
                <c:pt idx="31">
                  <c:v>7</c:v>
                </c:pt>
                <c:pt idx="32">
                  <c:v>6</c:v>
                </c:pt>
                <c:pt idx="33">
                  <c:v>6</c:v>
                </c:pt>
                <c:pt idx="34">
                  <c:v>8</c:v>
                </c:pt>
                <c:pt idx="35">
                  <c:v>8</c:v>
                </c:pt>
                <c:pt idx="36">
                  <c:v>8</c:v>
                </c:pt>
                <c:pt idx="37">
                  <c:v>9</c:v>
                </c:pt>
                <c:pt idx="38">
                  <c:v>8</c:v>
                </c:pt>
                <c:pt idx="39">
                  <c:v>7</c:v>
                </c:pt>
                <c:pt idx="40">
                  <c:v>7</c:v>
                </c:pt>
                <c:pt idx="41">
                  <c:v>5</c:v>
                </c:pt>
                <c:pt idx="42">
                  <c:v>5</c:v>
                </c:pt>
                <c:pt idx="43">
                  <c:v>5</c:v>
                </c:pt>
                <c:pt idx="44">
                  <c:v>6</c:v>
                </c:pt>
                <c:pt idx="45">
                  <c:v>7</c:v>
                </c:pt>
                <c:pt idx="46">
                  <c:v>7</c:v>
                </c:pt>
                <c:pt idx="47">
                  <c:v>7</c:v>
                </c:pt>
              </c:numCache>
            </c:numRef>
          </c:val>
          <c:extLst>
            <c:ext xmlns:c16="http://schemas.microsoft.com/office/drawing/2014/chart" uri="{C3380CC4-5D6E-409C-BE32-E72D297353CC}">
              <c16:uniqueId val="{00000000-C535-AA48-88A2-596F0D6B04C4}"/>
            </c:ext>
          </c:extLst>
        </c:ser>
        <c:ser>
          <c:idx val="1"/>
          <c:order val="1"/>
          <c:tx>
            <c:strRef>
              <c:f>Visualization!$H$1</c:f>
              <c:strCache>
                <c:ptCount val="1"/>
                <c:pt idx="0">
                  <c:v>Single-month operations</c:v>
                </c:pt>
              </c:strCache>
            </c:strRef>
          </c:tx>
          <c:spPr>
            <a:solidFill>
              <a:schemeClr val="accent2"/>
            </a:solidFill>
            <a:ln>
              <a:noFill/>
            </a:ln>
            <a:effectLst/>
          </c:spPr>
          <c:invertIfNegative val="0"/>
          <c:cat>
            <c:numRef>
              <c:f>Visualization!$F$2:$F$49</c:f>
              <c:numCache>
                <c:formatCode>mmm\-yy</c:formatCode>
                <c:ptCount val="48"/>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pt idx="42">
                  <c:v>45839</c:v>
                </c:pt>
                <c:pt idx="43">
                  <c:v>45870</c:v>
                </c:pt>
                <c:pt idx="44">
                  <c:v>45901</c:v>
                </c:pt>
                <c:pt idx="45">
                  <c:v>45931</c:v>
                </c:pt>
                <c:pt idx="46">
                  <c:v>45962</c:v>
                </c:pt>
                <c:pt idx="47">
                  <c:v>45992</c:v>
                </c:pt>
              </c:numCache>
            </c:numRef>
          </c:cat>
          <c:val>
            <c:numRef>
              <c:f>Visualization!$H$2:$H$49</c:f>
              <c:numCache>
                <c:formatCode>General</c:formatCode>
                <c:ptCount val="48"/>
                <c:pt idx="0">
                  <c:v>0</c:v>
                </c:pt>
                <c:pt idx="1">
                  <c:v>0</c:v>
                </c:pt>
                <c:pt idx="2">
                  <c:v>0</c:v>
                </c:pt>
                <c:pt idx="3">
                  <c:v>2</c:v>
                </c:pt>
                <c:pt idx="4">
                  <c:v>1</c:v>
                </c:pt>
                <c:pt idx="5">
                  <c:v>0</c:v>
                </c:pt>
                <c:pt idx="6">
                  <c:v>1</c:v>
                </c:pt>
                <c:pt idx="7">
                  <c:v>0</c:v>
                </c:pt>
                <c:pt idx="8">
                  <c:v>0</c:v>
                </c:pt>
                <c:pt idx="9">
                  <c:v>0</c:v>
                </c:pt>
                <c:pt idx="10">
                  <c:v>0</c:v>
                </c:pt>
                <c:pt idx="11">
                  <c:v>1</c:v>
                </c:pt>
                <c:pt idx="12">
                  <c:v>1</c:v>
                </c:pt>
                <c:pt idx="13">
                  <c:v>0</c:v>
                </c:pt>
                <c:pt idx="14">
                  <c:v>1</c:v>
                </c:pt>
                <c:pt idx="15">
                  <c:v>0</c:v>
                </c:pt>
                <c:pt idx="16">
                  <c:v>1</c:v>
                </c:pt>
                <c:pt idx="17">
                  <c:v>0</c:v>
                </c:pt>
                <c:pt idx="18">
                  <c:v>1</c:v>
                </c:pt>
                <c:pt idx="19">
                  <c:v>0</c:v>
                </c:pt>
                <c:pt idx="20">
                  <c:v>0</c:v>
                </c:pt>
                <c:pt idx="21">
                  <c:v>2</c:v>
                </c:pt>
                <c:pt idx="22">
                  <c:v>2</c:v>
                </c:pt>
                <c:pt idx="23">
                  <c:v>2</c:v>
                </c:pt>
                <c:pt idx="24">
                  <c:v>5</c:v>
                </c:pt>
                <c:pt idx="25">
                  <c:v>2</c:v>
                </c:pt>
                <c:pt idx="26">
                  <c:v>6</c:v>
                </c:pt>
                <c:pt idx="27">
                  <c:v>5</c:v>
                </c:pt>
                <c:pt idx="28">
                  <c:v>8</c:v>
                </c:pt>
                <c:pt idx="29">
                  <c:v>6</c:v>
                </c:pt>
                <c:pt idx="30">
                  <c:v>8</c:v>
                </c:pt>
                <c:pt idx="31">
                  <c:v>4</c:v>
                </c:pt>
                <c:pt idx="32">
                  <c:v>2</c:v>
                </c:pt>
                <c:pt idx="33">
                  <c:v>1</c:v>
                </c:pt>
                <c:pt idx="34">
                  <c:v>3</c:v>
                </c:pt>
                <c:pt idx="35">
                  <c:v>3</c:v>
                </c:pt>
                <c:pt idx="36">
                  <c:v>3</c:v>
                </c:pt>
                <c:pt idx="37">
                  <c:v>0</c:v>
                </c:pt>
                <c:pt idx="38">
                  <c:v>1</c:v>
                </c:pt>
                <c:pt idx="39">
                  <c:v>1</c:v>
                </c:pt>
                <c:pt idx="40">
                  <c:v>2</c:v>
                </c:pt>
                <c:pt idx="41">
                  <c:v>1</c:v>
                </c:pt>
                <c:pt idx="42">
                  <c:v>0</c:v>
                </c:pt>
                <c:pt idx="43">
                  <c:v>3</c:v>
                </c:pt>
                <c:pt idx="44">
                  <c:v>6</c:v>
                </c:pt>
                <c:pt idx="45">
                  <c:v>5</c:v>
                </c:pt>
                <c:pt idx="46">
                  <c:v>4</c:v>
                </c:pt>
                <c:pt idx="47">
                  <c:v>2</c:v>
                </c:pt>
              </c:numCache>
            </c:numRef>
          </c:val>
          <c:extLst>
            <c:ext xmlns:c16="http://schemas.microsoft.com/office/drawing/2014/chart" uri="{C3380CC4-5D6E-409C-BE32-E72D297353CC}">
              <c16:uniqueId val="{00000001-C535-AA48-88A2-596F0D6B04C4}"/>
            </c:ext>
          </c:extLst>
        </c:ser>
        <c:dLbls>
          <c:showLegendKey val="0"/>
          <c:showVal val="0"/>
          <c:showCatName val="0"/>
          <c:showSerName val="0"/>
          <c:showPercent val="0"/>
          <c:showBubbleSize val="0"/>
        </c:dLbls>
        <c:gapWidth val="150"/>
        <c:overlap val="100"/>
        <c:axId val="930024880"/>
        <c:axId val="930026592"/>
      </c:barChart>
      <c:dateAx>
        <c:axId val="93002488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930026592"/>
        <c:crosses val="autoZero"/>
        <c:auto val="1"/>
        <c:lblOffset val="100"/>
        <c:baseTimeUnit val="months"/>
      </c:dateAx>
      <c:valAx>
        <c:axId val="930026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crossAx val="9300248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L"/>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23</xdr:col>
      <xdr:colOff>817880</xdr:colOff>
      <xdr:row>17</xdr:row>
      <xdr:rowOff>142240</xdr:rowOff>
    </xdr:from>
    <xdr:to>
      <xdr:col>29</xdr:col>
      <xdr:colOff>802640</xdr:colOff>
      <xdr:row>34</xdr:row>
      <xdr:rowOff>142240</xdr:rowOff>
    </xdr:to>
    <xdr:graphicFrame macro="">
      <xdr:nvGraphicFramePr>
        <xdr:cNvPr id="4" name="Chart 3">
          <a:extLst>
            <a:ext uri="{FF2B5EF4-FFF2-40B4-BE49-F238E27FC236}">
              <a16:creationId xmlns:a16="http://schemas.microsoft.com/office/drawing/2014/main" id="{DFC91DD1-76BC-73EF-9064-6BBA6E6EE5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25400</xdr:colOff>
      <xdr:row>26</xdr:row>
      <xdr:rowOff>0</xdr:rowOff>
    </xdr:from>
    <xdr:to>
      <xdr:col>36</xdr:col>
      <xdr:colOff>782320</xdr:colOff>
      <xdr:row>41</xdr:row>
      <xdr:rowOff>10160</xdr:rowOff>
    </xdr:to>
    <xdr:graphicFrame macro="">
      <xdr:nvGraphicFramePr>
        <xdr:cNvPr id="3" name="Chart 2">
          <a:extLst>
            <a:ext uri="{FF2B5EF4-FFF2-40B4-BE49-F238E27FC236}">
              <a16:creationId xmlns:a16="http://schemas.microsoft.com/office/drawing/2014/main" id="{6AA4365E-B93C-393A-9CBE-7C7E4992DE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30480</xdr:colOff>
      <xdr:row>14</xdr:row>
      <xdr:rowOff>20320</xdr:rowOff>
    </xdr:from>
    <xdr:to>
      <xdr:col>23</xdr:col>
      <xdr:colOff>20320</xdr:colOff>
      <xdr:row>31</xdr:row>
      <xdr:rowOff>0</xdr:rowOff>
    </xdr:to>
    <xdr:graphicFrame macro="">
      <xdr:nvGraphicFramePr>
        <xdr:cNvPr id="5" name="Chart 4">
          <a:extLst>
            <a:ext uri="{FF2B5EF4-FFF2-40B4-BE49-F238E27FC236}">
              <a16:creationId xmlns:a16="http://schemas.microsoft.com/office/drawing/2014/main" id="{0159A354-9D7A-C8CD-99DE-32AAE7C3A1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15</xdr:row>
      <xdr:rowOff>71120</xdr:rowOff>
    </xdr:from>
    <xdr:to>
      <xdr:col>15</xdr:col>
      <xdr:colOff>30480</xdr:colOff>
      <xdr:row>28</xdr:row>
      <xdr:rowOff>172720</xdr:rowOff>
    </xdr:to>
    <xdr:graphicFrame macro="">
      <xdr:nvGraphicFramePr>
        <xdr:cNvPr id="6" name="Chart 5">
          <a:extLst>
            <a:ext uri="{FF2B5EF4-FFF2-40B4-BE49-F238E27FC236}">
              <a16:creationId xmlns:a16="http://schemas.microsoft.com/office/drawing/2014/main" id="{5BF341A9-ADAA-2FE7-4444-45FC06F200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152400</xdr:colOff>
      <xdr:row>7</xdr:row>
      <xdr:rowOff>81280</xdr:rowOff>
    </xdr:from>
    <xdr:to>
      <xdr:col>3</xdr:col>
      <xdr:colOff>30480</xdr:colOff>
      <xdr:row>20</xdr:row>
      <xdr:rowOff>172720</xdr:rowOff>
    </xdr:to>
    <xdr:graphicFrame macro="">
      <xdr:nvGraphicFramePr>
        <xdr:cNvPr id="12" name="Chart 11">
          <a:extLst>
            <a:ext uri="{FF2B5EF4-FFF2-40B4-BE49-F238E27FC236}">
              <a16:creationId xmlns:a16="http://schemas.microsoft.com/office/drawing/2014/main" id="{52844418-5FAF-90F9-D0C5-87635B926C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65367</xdr:colOff>
      <xdr:row>23</xdr:row>
      <xdr:rowOff>130735</xdr:rowOff>
    </xdr:from>
    <xdr:to>
      <xdr:col>4</xdr:col>
      <xdr:colOff>971177</xdr:colOff>
      <xdr:row>45</xdr:row>
      <xdr:rowOff>201855</xdr:rowOff>
    </xdr:to>
    <xdr:graphicFrame macro="">
      <xdr:nvGraphicFramePr>
        <xdr:cNvPr id="7" name="Chart 6">
          <a:extLst>
            <a:ext uri="{FF2B5EF4-FFF2-40B4-BE49-F238E27FC236}">
              <a16:creationId xmlns:a16="http://schemas.microsoft.com/office/drawing/2014/main" id="{03B53FB0-5F72-E8FA-CD5A-4C9BE676CE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87359BF-E040-614D-BF52-7E3F634E1C7D}" name="Table3" displayName="Table3" ref="A1:Q8" totalsRowShown="0">
  <autoFilter ref="A1:Q8" xr:uid="{E87359BF-E040-614D-BF52-7E3F634E1C7D}"/>
  <tableColumns count="17">
    <tableColumn id="1" xr3:uid="{919D2FA9-D6C2-8E4D-B426-C3C28D72ED75}" name="Variabe"/>
    <tableColumn id="2" xr3:uid="{C7305BFE-0D05-0949-AAAD-9DBA16E3A80E}" name="Option 1"/>
    <tableColumn id="3" xr3:uid="{44C2AAAC-C0AD-4440-A210-B6C1252504A5}" name="Option 2"/>
    <tableColumn id="4" xr3:uid="{F6EEADEF-73DC-504C-B8B7-5858011C63BB}" name="Option 3"/>
    <tableColumn id="5" xr3:uid="{584692AF-F1F9-4447-B280-BDAC8ED5D013}" name="Option 4"/>
    <tableColumn id="6" xr3:uid="{49A91012-BAF2-5442-8EE4-3E8A8DFC245A}" name="Option 5"/>
    <tableColumn id="7" xr3:uid="{C5411ECB-39FC-924F-8507-B0ED97503548}" name="Option 6"/>
    <tableColumn id="8" xr3:uid="{D2048CE4-693B-5A4D-9E16-6DB98429A396}" name="Option 7"/>
    <tableColumn id="9" xr3:uid="{F9D1D9CE-6790-0940-90E9-7507663C077B}" name="Option 8"/>
    <tableColumn id="10" xr3:uid="{D98B8836-1F40-494E-B12D-D19D43B8DC7A}" name="Option 9"/>
    <tableColumn id="11" xr3:uid="{24DA5718-10D0-F84F-A5E8-8E77A1BFFC2C}" name="Option 10"/>
    <tableColumn id="12" xr3:uid="{410267A4-C936-244A-B5FA-B3F8CA247646}" name="Option 11"/>
    <tableColumn id="13" xr3:uid="{97BEBD71-39CA-CB40-BAE9-1C93CA8B5C8F}" name="Option 12"/>
    <tableColumn id="14" xr3:uid="{5912341F-BC25-A741-828E-BB7992A1CC59}" name="Option 13"/>
    <tableColumn id="15" xr3:uid="{2295DFAA-102C-7E4A-A4D1-3C47CB4F7F2D}" name="Option 14"/>
    <tableColumn id="16" xr3:uid="{1AB2D715-DA47-6849-8F76-10846EA2269A}" name="Option 15"/>
    <tableColumn id="17" xr3:uid="{F8818901-CA19-9A4A-A964-BC7487D70069}" name="Option 1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i.org/10.7910/DVN/TQ0FMQ" TargetMode="External"/><Relationship Id="rId2" Type="http://schemas.openxmlformats.org/officeDocument/2006/relationships/hyperlink" Target="mailto:b.w.schuurman@fgga.leidenuniv.nl" TargetMode="External"/><Relationship Id="rId1" Type="http://schemas.openxmlformats.org/officeDocument/2006/relationships/hyperlink" Target="https://creativecommons.org/licenses/by/4.0/"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euronews.com/2025/08/12/poland-charges-suspect-over-parcel-bomb-plot-amid-russia-sabotage-fears?" TargetMode="External"/><Relationship Id="rId21" Type="http://schemas.openxmlformats.org/officeDocument/2006/relationships/hyperlink" Target="https://nos.nl/artikel/2519194-zeker-vijf-spionageschepen-in-belgie-gesignaleerd-ook-in-nederland-vermoedens" TargetMode="External"/><Relationship Id="rId42" Type="http://schemas.openxmlformats.org/officeDocument/2006/relationships/hyperlink" Target="https://www.dw.com/en/norway-detains-second-russian-for-flying-drone/a-63452785" TargetMode="External"/><Relationship Id="rId63" Type="http://schemas.openxmlformats.org/officeDocument/2006/relationships/hyperlink" Target="https://www.sgdsn.gouv.fr/files/files/20240212_NP_SGDSN_VIGINUM_PORTAL-KOMBAT-NETWORK_ENG_VF.pdf" TargetMode="External"/><Relationship Id="rId84" Type="http://schemas.openxmlformats.org/officeDocument/2006/relationships/hyperlink" Target="https://www.disinfo.eu/doppelganger-operation/" TargetMode="External"/><Relationship Id="rId138" Type="http://schemas.openxmlformats.org/officeDocument/2006/relationships/hyperlink" Target="https://www.bbc.com/news/articles/c8655gn84ego" TargetMode="External"/><Relationship Id="rId107" Type="http://schemas.openxmlformats.org/officeDocument/2006/relationships/hyperlink" Target="https://www.mediapart.fr/en/journal/international/090125/operation-red-hands-france-neo-nazi-agents-provocateurs-kremlins-pay" TargetMode="External"/><Relationship Id="rId11" Type="http://schemas.openxmlformats.org/officeDocument/2006/relationships/hyperlink" Target="https://as.com/actualidad/sociedad/alarma-en-europa-por-la-mano-rusa-en-un-incendio-de-una-empresa-ucrania-en-fuenlabrada-n/" TargetMode="External"/><Relationship Id="rId32" Type="http://schemas.openxmlformats.org/officeDocument/2006/relationships/hyperlink" Target="https://www.nrc.nl/nieuws/2024/03/28/omstreden-pro-russische-website-voice-of-europe-was-ook-podium-voor-fvd-prominenten-a4194539/" TargetMode="External"/><Relationship Id="rId37" Type="http://schemas.openxmlformats.org/officeDocument/2006/relationships/hyperlink" Target="https://www.politico.eu/article/bulgaria-economy-minister-bogdan-bogdanov-nikolay-denkov-hints-at-russian-attack-on-ammunition-factory/" TargetMode="External"/><Relationship Id="rId53" Type="http://schemas.openxmlformats.org/officeDocument/2006/relationships/hyperlink" Target="https://www.bbc.com/news/articles/cr56l7prj2mo" TargetMode="External"/><Relationship Id="rId58" Type="http://schemas.openxmlformats.org/officeDocument/2006/relationships/hyperlink" Target="https://adevarul.ro/stiri-interne/evenimente/sabotor-coordonat-din-rusia-arestat-in-romania-2406105.html" TargetMode="External"/><Relationship Id="rId74" Type="http://schemas.openxmlformats.org/officeDocument/2006/relationships/hyperlink" Target="https://apnews.com/article/latvia-belarus-border-migrants-hybrid-warfare-c75de2cd135dd24d4865ec40a3dea698" TargetMode="External"/><Relationship Id="rId79" Type="http://schemas.openxmlformats.org/officeDocument/2006/relationships/hyperlink" Target="https://www.volkskrant.nl/binnenland/russische-hackgroep-had-toegang-tot-openbare-waterfontein-in-nederland~bd120e79/" TargetMode="External"/><Relationship Id="rId102" Type="http://schemas.openxmlformats.org/officeDocument/2006/relationships/hyperlink" Target="https://warontherocks.com/2025/04/putins-spies-for-hire-what-the-u-k-s-biggest-espionage-trial-revealed-about-kremlin-tactics-in-wartime-europe/" TargetMode="External"/><Relationship Id="rId123" Type="http://schemas.openxmlformats.org/officeDocument/2006/relationships/hyperlink" Target="https://decode39.com/11570/us-aviano-base-on-alert-after-russian-sabotage-threat/" TargetMode="External"/><Relationship Id="rId128" Type="http://schemas.openxmlformats.org/officeDocument/2006/relationships/hyperlink" Target="https://www.reuters.com/world/polish-services-detained-eight-people-suspected-preparing-acts-sabotage-says-pm-2025-10-21/" TargetMode="External"/><Relationship Id="rId5" Type="http://schemas.openxmlformats.org/officeDocument/2006/relationships/hyperlink" Target="https://www.theguardian.com/uk-news/2024/oct/16/russia-suspected-of-planting-device-on-plane-that-caused-uk-warehouse-fire" TargetMode="External"/><Relationship Id="rId90" Type="http://schemas.openxmlformats.org/officeDocument/2006/relationships/hyperlink" Target="https://kyivindependent.com/polish-man-accused-of-spying-for-russia-prosecutors-say/" TargetMode="External"/><Relationship Id="rId95" Type="http://schemas.openxmlformats.org/officeDocument/2006/relationships/hyperlink" Target="https://www.dr.dk/nyheder/indland/moerklagt/falske-demonstranter-dukker-op-flere-steder-russisk-efterretningstjeneste" TargetMode="External"/><Relationship Id="rId22" Type="http://schemas.openxmlformats.org/officeDocument/2006/relationships/hyperlink" Target="https://www.euronews.com/my-europe/2024/11/28/russian-attacks-on-undersea-cables-most-serious-threat-to-our-infrastructure-nato" TargetMode="External"/><Relationship Id="rId27" Type="http://schemas.openxmlformats.org/officeDocument/2006/relationships/hyperlink" Target="https://www.lemonde.fr/en/france/article/2024/06/27/man-arrested-with-explosives-near-paris-airport-was-part-of-vast-russian-sabotage-campaign_6675959_7.html" TargetMode="External"/><Relationship Id="rId43" Type="http://schemas.openxmlformats.org/officeDocument/2006/relationships/hyperlink" Target="https://apnews.com/article/finland-russia-border-migration-313b2a1846f4aa4b349fa577ce8c39a4" TargetMode="External"/><Relationship Id="rId48" Type="http://schemas.openxmlformats.org/officeDocument/2006/relationships/hyperlink" Target="https://foreignpolicy.com/2024/07/26/russia-sabotage-poison-finland-water-treatment/" TargetMode="External"/><Relationship Id="rId64" Type="http://schemas.openxmlformats.org/officeDocument/2006/relationships/hyperlink" Target="https://www.sgdsn.gouv.fr/files/files/20240212_NP_SGDSN_VIGINUM_PORTAL-KOMBAT-NETWORK_ENG_VF.pdf" TargetMode="External"/><Relationship Id="rId69" Type="http://schemas.openxmlformats.org/officeDocument/2006/relationships/hyperlink" Target="https://www.volkskrant.nl/buitenland/russisch-netwerk-op-x-poogde-radicaal-rechts-in-europa-te-versterken~b2e2d21cc/" TargetMode="External"/><Relationship Id="rId113" Type="http://schemas.openxmlformats.org/officeDocument/2006/relationships/hyperlink" Target="https://www.theguardian.com/world/2024/apr/18/polish-man-arrested-over-alleged-russian-plot-to-assassinate-zelenskiy" TargetMode="External"/><Relationship Id="rId118" Type="http://schemas.openxmlformats.org/officeDocument/2006/relationships/hyperlink" Target="https://vsquare.org/revealed-how-russia-gru-plotted-europe-parcel-explosions/" TargetMode="External"/><Relationship Id="rId134" Type="http://schemas.openxmlformats.org/officeDocument/2006/relationships/hyperlink" Target="https://nos.nl/artikel/2590881-opblazen-spoor-is-voor-polen-zoveelste-grens-die-overschreden-wordt" TargetMode="External"/><Relationship Id="rId139" Type="http://schemas.openxmlformats.org/officeDocument/2006/relationships/hyperlink" Target="https://warszawa.wyborcza.pl/warszawa/7,54420,32291943,wyborcza-ujawnia-rosyjski-wywiad-materialy-wybuchowe-w-puszkach.html" TargetMode="External"/><Relationship Id="rId80" Type="http://schemas.openxmlformats.org/officeDocument/2006/relationships/hyperlink" Target="https://www.defensie.nl/downloads/jaarverslagen/2025/04/22/openbaar-jaarverslag-2024-militaire-inlichtingen--en-veiligheidsdienst" TargetMode="External"/><Relationship Id="rId85" Type="http://schemas.openxmlformats.org/officeDocument/2006/relationships/hyperlink" Target="https://www.disinfo.eu/doppelganger-operation/" TargetMode="External"/><Relationship Id="rId12" Type="http://schemas.openxmlformats.org/officeDocument/2006/relationships/hyperlink" Target="https://www.bbc.com/news/articles/cqeev0d6lp5o" TargetMode="External"/><Relationship Id="rId17" Type="http://schemas.openxmlformats.org/officeDocument/2006/relationships/hyperlink" Target="https://www.dw.com/en/estonia-detains-10-russians-suspected-in-sabotage-plot/a-68312742" TargetMode="External"/><Relationship Id="rId33" Type="http://schemas.openxmlformats.org/officeDocument/2006/relationships/hyperlink" Target="https://www.wsj.com/world/europe/chinese-ship-suspected-of-deliberately-dragging-anchor-for-100-miles-to-cut-baltic-cables-395f65d1" TargetMode="External"/><Relationship Id="rId38" Type="http://schemas.openxmlformats.org/officeDocument/2006/relationships/hyperlink" Target="https://www-svobodnaevropa-bg.translate.goog/a/nov-pojar-emko-gebrev-karnobat/32474726.html?_x_tr_sl=auto&amp;_x_tr_tl=en&amp;_x_tr_hl=en-US&amp;_x_tr_pto=wapp" TargetMode="External"/><Relationship Id="rId59" Type="http://schemas.openxmlformats.org/officeDocument/2006/relationships/hyperlink" Target="https://www.focus.de/panorama/luftwaffenstuetzpunkt-in-koeln-wahn-erneuter-einbruch-in-bundeswehrkaserne-staatsschutz-ermittelt_id_260624674.html" TargetMode="External"/><Relationship Id="rId103" Type="http://schemas.openxmlformats.org/officeDocument/2006/relationships/hyperlink" Target="https://warontherocks.com/2025/04/putins-spies-for-hire-what-the-u-k-s-biggest-espionage-trial-revealed-about-kremlin-tactics-in-wartime-europe/" TargetMode="External"/><Relationship Id="rId108" Type="http://schemas.openxmlformats.org/officeDocument/2006/relationships/hyperlink" Target="https://www.mediapart.fr/en/journal/international/090125/operation-red-hands-france-neo-nazi-agents-provocateurs-kremlins-pay" TargetMode="External"/><Relationship Id="rId124" Type="http://schemas.openxmlformats.org/officeDocument/2006/relationships/hyperlink" Target="https://www.lemonde.fr/en/france/article/2025/09/27/french-investigators-believe-russia-involved-in-dumping-of-pig-heads-at-mosques_6745830_7.html" TargetMode="External"/><Relationship Id="rId129" Type="http://schemas.openxmlformats.org/officeDocument/2006/relationships/hyperlink" Target="https://nos.nl/artikel/2588354-meerdere-drones-gesignaleerd-boven-belgisch-militair-terrein" TargetMode="External"/><Relationship Id="rId54" Type="http://schemas.openxmlformats.org/officeDocument/2006/relationships/hyperlink" Target="https://www.zeit.de/news/2024-05/22/paris-vermutet-moskau-hinter-farbattacke" TargetMode="External"/><Relationship Id="rId70" Type="http://schemas.openxmlformats.org/officeDocument/2006/relationships/hyperlink" Target="https://nos.nl/artikel/2560088-aanklager-litouwen-rusland-achter-branden-winkels-vilnius-en-warschau" TargetMode="External"/><Relationship Id="rId75" Type="http://schemas.openxmlformats.org/officeDocument/2006/relationships/hyperlink" Target="https://alliance4europe.eu/storm-1516-german-elections" TargetMode="External"/><Relationship Id="rId91" Type="http://schemas.openxmlformats.org/officeDocument/2006/relationships/hyperlink" Target="https://kyivindependent.com/polish-man-accused-of-spying-for-russia-prosecutors-say/" TargetMode="External"/><Relationship Id="rId96" Type="http://schemas.openxmlformats.org/officeDocument/2006/relationships/hyperlink" Target="https://www.thetimes.com/world/russia-ukraine-war/article/kremlin-is-behind-pro-russian-protests-in-europe-9gj27s8g5?region=global" TargetMode="External"/><Relationship Id="rId140" Type="http://schemas.openxmlformats.org/officeDocument/2006/relationships/hyperlink" Target="https://www.polskieradio.pl/395/7789/artykul/3620212%2Cpoland-uncovers-fourth-migrant-tunnel-from-belarus-in-2025" TargetMode="External"/><Relationship Id="rId1" Type="http://schemas.openxmlformats.org/officeDocument/2006/relationships/hyperlink" Target="https://nos.nl/artikel/2506155-finland-ondanks-gesloten-grens-nog-altijd-illegale-migratie-uit-rusland" TargetMode="External"/><Relationship Id="rId6" Type="http://schemas.openxmlformats.org/officeDocument/2006/relationships/hyperlink" Target="https://www.theguardian.com/uk-news/2024/oct/16/russia-suspected-of-planting-device-on-plane-that-caused-uk-warehouse-fire" TargetMode="External"/><Relationship Id="rId23" Type="http://schemas.openxmlformats.org/officeDocument/2006/relationships/hyperlink" Target="https://www.polskieradio.pl/395/7786/artykul/3438674,russian-intelligence-paid-5000-to-recruit-arsonists-in-poland" TargetMode="External"/><Relationship Id="rId28" Type="http://schemas.openxmlformats.org/officeDocument/2006/relationships/hyperlink" Target="https://www.lemonde.fr/en/international/article/2024/03/02/french-intelligence-services-investigate-pro-russian-campaign-ahead-of-eu-elections_6577657_4.html" TargetMode="External"/><Relationship Id="rId49" Type="http://schemas.openxmlformats.org/officeDocument/2006/relationships/hyperlink" Target="https://www.lemonde.fr/en/international/article/2024/03/02/french-intelligence-services-investigate-pro-russian-campaign-ahead-of-eu-elections_6577657_4.html" TargetMode="External"/><Relationship Id="rId114" Type="http://schemas.openxmlformats.org/officeDocument/2006/relationships/hyperlink" Target="https://euromaidanpress.com/2025/08/09/g4media-romania-investigates-russia-over-chlorine-tainted-azerbaijani-oil-bound-for-europe/" TargetMode="External"/><Relationship Id="rId119" Type="http://schemas.openxmlformats.org/officeDocument/2006/relationships/hyperlink" Target="https://www.france24.com/en/europe/20250927-new-drones-sighted-over-denmark-s-largest-military-base" TargetMode="External"/><Relationship Id="rId44" Type="http://schemas.openxmlformats.org/officeDocument/2006/relationships/hyperlink" Target="https://cepa.org/article/russia-raises-stakes-with-attacks-on-the-west/" TargetMode="External"/><Relationship Id="rId60" Type="http://schemas.openxmlformats.org/officeDocument/2006/relationships/hyperlink" Target="https://www.spiegel.de/panorama/justiz/hunderte-autos-beschaedigt-deutschlandweite-sabotageserie-offenbar-aus-russland-gesteuert-a-7625e908-2f28-4ef8-bb69-35e5bacd6125" TargetMode="External"/><Relationship Id="rId65" Type="http://schemas.openxmlformats.org/officeDocument/2006/relationships/hyperlink" Target="https://apnews.com/article/poland-cyberattack-russia-fake-news-mobilization-f5c1cfa4d2b0b0f7e4207e416e19eee0" TargetMode="External"/><Relationship Id="rId81" Type="http://schemas.openxmlformats.org/officeDocument/2006/relationships/hyperlink" Target="https://www.defensie.nl/downloads/jaarverslagen/2025/04/22/openbaar-jaarverslag-2024-militaire-inlichtingen--en-veiligheidsdienst" TargetMode="External"/><Relationship Id="rId86" Type="http://schemas.openxmlformats.org/officeDocument/2006/relationships/hyperlink" Target="https://www.lemonde.fr/en/europe/article/2025/05/15/poland-suspects-russian-interference-in-presidential-election-campaign_6741318_143.html" TargetMode="External"/><Relationship Id="rId130" Type="http://schemas.openxmlformats.org/officeDocument/2006/relationships/hyperlink" Target="https://www.politico.eu/article/top-eu-weapons-firm-warns-drone-threat-production-lines/" TargetMode="External"/><Relationship Id="rId135" Type="http://schemas.openxmlformats.org/officeDocument/2006/relationships/hyperlink" Target="https://www.politico.eu/article/germany-friedrich-merz-suspects-kremlin-behind-drone-sightings-munich/" TargetMode="External"/><Relationship Id="rId13" Type="http://schemas.openxmlformats.org/officeDocument/2006/relationships/hyperlink" Target="https://www.reuters.com/world/russias-suspected-sabotage-campaign-steps-up-europe-2024-10-21/" TargetMode="External"/><Relationship Id="rId18" Type="http://schemas.openxmlformats.org/officeDocument/2006/relationships/hyperlink" Target="https://www.dw.com/en/estonia-detains-10-russians-suspected-in-sabotage-plot/a-68312742" TargetMode="External"/><Relationship Id="rId39" Type="http://schemas.openxmlformats.org/officeDocument/2006/relationships/hyperlink" Target="https://www.washingtonpost.com/world/2023/08/18/ukraine-weapons-sabotage-gru-poland/" TargetMode="External"/><Relationship Id="rId109" Type="http://schemas.openxmlformats.org/officeDocument/2006/relationships/hyperlink" Target="https://www.mediapart.fr/en/journal/international/090125/operation-red-hands-france-neo-nazi-agents-provocateurs-kremlins-pay" TargetMode="External"/><Relationship Id="rId34" Type="http://schemas.openxmlformats.org/officeDocument/2006/relationships/hyperlink" Target="https://www.delfi.lt/en/politics/latvian-authorities-detain-man-who-allegedly-defaced-partisan-leader-s-monument-in-merkine-95942881" TargetMode="External"/><Relationship Id="rId50" Type="http://schemas.openxmlformats.org/officeDocument/2006/relationships/hyperlink" Target="https://www.bbc.com/news/articles/cx2yl2zxrq1o" TargetMode="External"/><Relationship Id="rId55" Type="http://schemas.openxmlformats.org/officeDocument/2006/relationships/hyperlink" Target="https://www.zeit.de/gesellschaft/zeitgeschehen/2024-05/slowakei-bombendrohung-schulen-banken-polizeieinsatz-massenevakuierung" TargetMode="External"/><Relationship Id="rId76" Type="http://schemas.openxmlformats.org/officeDocument/2006/relationships/hyperlink" Target="https://alliance4europe.eu/storm-1516-german-elections" TargetMode="External"/><Relationship Id="rId97" Type="http://schemas.openxmlformats.org/officeDocument/2006/relationships/hyperlink" Target="https://www.reuters.com/investigations/russia-linked-propaganda-campaign-pushes-undercut-german-support-ukraine-2025-02-18/?utm_source=chatgpt.com" TargetMode="External"/><Relationship Id="rId104" Type="http://schemas.openxmlformats.org/officeDocument/2006/relationships/hyperlink" Target="https://www.euronews.com/my-europe/2025/07/03/estonia-says-arson-attack-on-ukrainian-restaurant-was-order-by-russias-intelligence-servic" TargetMode="External"/><Relationship Id="rId120" Type="http://schemas.openxmlformats.org/officeDocument/2006/relationships/hyperlink" Target="https://www.reuters.com/world/europe/denmark-reopens-airports-after-drone-disruption-2025-09-25/" TargetMode="External"/><Relationship Id="rId125" Type="http://schemas.openxmlformats.org/officeDocument/2006/relationships/hyperlink" Target="https://www.theguardian.com/world/2025/sep/29/eleven-arrested-for-placing-pigs-heads-near-french-mosques-and-other-hate-crimes" TargetMode="External"/><Relationship Id="rId141" Type="http://schemas.openxmlformats.org/officeDocument/2006/relationships/hyperlink" Target="https://www.thelocal.dk/20250122/danish-water-works-at-very-high-risk-from-cyber-crime" TargetMode="External"/><Relationship Id="rId7" Type="http://schemas.openxmlformats.org/officeDocument/2006/relationships/hyperlink" Target="https://www.theguardian.com/uk-news/2024/apr/26/man-charged-conducting-hostile-activity-uk-benefit-russia" TargetMode="External"/><Relationship Id="rId71" Type="http://schemas.openxmlformats.org/officeDocument/2006/relationships/hyperlink" Target="https://nos.nl/artikel/2560088-aanklager-litouwen-rusland-achter-branden-winkels-vilnius-en-warschau" TargetMode="External"/><Relationship Id="rId92" Type="http://schemas.openxmlformats.org/officeDocument/2006/relationships/hyperlink" Target="https://www.dr.dk/nyheder/indland/moerklagt/falske-demonstranter-dukker-op-flere-steder-russisk-efterretningstjeneste" TargetMode="External"/><Relationship Id="rId2" Type="http://schemas.openxmlformats.org/officeDocument/2006/relationships/hyperlink" Target="https://nos.nl/artikel/2517234-duitse-politie-pakt-russische-spionnen-op-voor-plannen-sabotageacties" TargetMode="External"/><Relationship Id="rId29" Type="http://schemas.openxmlformats.org/officeDocument/2006/relationships/hyperlink" Target="https://denikn.cz/1388809/european-politicians-on-putins-payroll-russians-attempted-to-influence-european-elections-from-prague/" TargetMode="External"/><Relationship Id="rId24" Type="http://schemas.openxmlformats.org/officeDocument/2006/relationships/hyperlink" Target="https://www.theguardian.com/business/2024/apr/22/thousands-of-flights-to-and-from-europe-affected-by-suspected-russian-jamming" TargetMode="External"/><Relationship Id="rId40" Type="http://schemas.openxmlformats.org/officeDocument/2006/relationships/hyperlink" Target="https://www.washingtonpost.com/world/2023/04/21/germany-russia-interference-afd-wagenknecht/" TargetMode="External"/><Relationship Id="rId45" Type="http://schemas.openxmlformats.org/officeDocument/2006/relationships/hyperlink" Target="https://www.theguardian.com/business/2024/apr/22/thousands-of-flights-to-and-from-europe-affected-by-suspected-russian-jamming" TargetMode="External"/><Relationship Id="rId66" Type="http://schemas.openxmlformats.org/officeDocument/2006/relationships/hyperlink" Target="https://www.lemonde.fr/en/france/article/2024/03/28/france-blocks-fake-site-encouraging-french-to-enlist-in-ukraine_6662952_7.html" TargetMode="External"/><Relationship Id="rId87" Type="http://schemas.openxmlformats.org/officeDocument/2006/relationships/hyperlink" Target="https://www.nytimes.com/2023/01/22/us/politics/russia-spain-letter-bombs.html" TargetMode="External"/><Relationship Id="rId110" Type="http://schemas.openxmlformats.org/officeDocument/2006/relationships/hyperlink" Target="https://notesfrompoland.com/2025/07/29/poland-charges-colombian-with-terrorism-over-arson-attacks-on-behalf-of-russia/" TargetMode="External"/><Relationship Id="rId115" Type="http://schemas.openxmlformats.org/officeDocument/2006/relationships/hyperlink" Target="https://www.nytimes.com/2025/08/28/us/politics/russian-drones-weapons-routes.html" TargetMode="External"/><Relationship Id="rId131" Type="http://schemas.openxmlformats.org/officeDocument/2006/relationships/hyperlink" Target="https://nos.nl/artikel/2588895-opnieuw-drones-bij-luchtmachtbasis-belgie-anti-dronewapen-ingezet" TargetMode="External"/><Relationship Id="rId136" Type="http://schemas.openxmlformats.org/officeDocument/2006/relationships/hyperlink" Target="https://www.rfi.fr/en/france/20251126-four-charged-in-paris-over-suspected-russia-linked-spy-network" TargetMode="External"/><Relationship Id="rId61" Type="http://schemas.openxmlformats.org/officeDocument/2006/relationships/hyperlink" Target="https://www.thelocal.dk/20250228/danish-intelligence-suspects-foreign-influence-in-greenland-vote" TargetMode="External"/><Relationship Id="rId82" Type="http://schemas.openxmlformats.org/officeDocument/2006/relationships/hyperlink" Target="https://www.theguardian.com/world/2025/may/14/germany-arrests-three-ukrainians-over-alleged-russian-parcel-bomb-plot" TargetMode="External"/><Relationship Id="rId19" Type="http://schemas.openxmlformats.org/officeDocument/2006/relationships/hyperlink" Target="https://vsquare.org/russia-sabotage-operations-baltics/" TargetMode="External"/><Relationship Id="rId14" Type="http://schemas.openxmlformats.org/officeDocument/2006/relationships/hyperlink" Target="https://www.reuters.com/world/russias-suspected-sabotage-campaign-steps-up-europe-2024-10-21/" TargetMode="External"/><Relationship Id="rId30" Type="http://schemas.openxmlformats.org/officeDocument/2006/relationships/hyperlink" Target="https://www.nrc.nl/nieuws/2024/03/28/omstreden-pro-russische-website-voice-of-europe-was-ook-podium-voor-fvd-prominenten-a4194539/" TargetMode="External"/><Relationship Id="rId35" Type="http://schemas.openxmlformats.org/officeDocument/2006/relationships/hyperlink" Target="https://www.lemonde.fr/en/france/article/2023/11/07/stars-of-david-graffiti-in-paris-russian-interference-suspected_6235378_7.html" TargetMode="External"/><Relationship Id="rId56" Type="http://schemas.openxmlformats.org/officeDocument/2006/relationships/hyperlink" Target="https://www.euronews.com/my-europe/2024/11/19/czech-republic-blames-russia-for-bomb-threats-against-schools" TargetMode="External"/><Relationship Id="rId77" Type="http://schemas.openxmlformats.org/officeDocument/2006/relationships/hyperlink" Target="https://notesfrompoland.com/2025/03/12/man-charged-with-setting-fire-to-warsaw-store-as-part-of-russian-sabotage-campaign-in-poland/" TargetMode="External"/><Relationship Id="rId100" Type="http://schemas.openxmlformats.org/officeDocument/2006/relationships/hyperlink" Target="https://www.theguardian.com/business/2024/apr/22/thousands-of-flights-to-and-from-europe-affected-by-suspected-russian-jamming" TargetMode="External"/><Relationship Id="rId105" Type="http://schemas.openxmlformats.org/officeDocument/2006/relationships/hyperlink" Target="https://apnews.com/article/lithuania-latvia-estonia-school-bomb-threats-582484480759aeb84a2e9506335390ec" TargetMode="External"/><Relationship Id="rId126" Type="http://schemas.openxmlformats.org/officeDocument/2006/relationships/hyperlink" Target="https://www.spiegel.de/politik/deutschland/kiel-verdaechtige-drohnen-spaehten-offenbar-kritische-infrastruktur-aus-a-a059a087-badd-4e11-856c-f0db8dc322a7" TargetMode="External"/><Relationship Id="rId8" Type="http://schemas.openxmlformats.org/officeDocument/2006/relationships/hyperlink" Target="https://edition.cnn.com/2024/07/11/politics/us-germany-foiled-russian-assassination-plot" TargetMode="External"/><Relationship Id="rId51" Type="http://schemas.openxmlformats.org/officeDocument/2006/relationships/hyperlink" Target="https://madeinvilnius.lt/en/business/Vilnius-market/The-detained-persons-are-suspected-of-arson-in-the-IKEA-shopping-center/" TargetMode="External"/><Relationship Id="rId72" Type="http://schemas.openxmlformats.org/officeDocument/2006/relationships/hyperlink" Target="https://www.reuters.com/world/europe/sweden-says-its-target-russia-backed-disinformation-over-nato-koran-burnings-2023-07-26/" TargetMode="External"/><Relationship Id="rId93" Type="http://schemas.openxmlformats.org/officeDocument/2006/relationships/hyperlink" Target="https://www.nrc.nl/nieuws/2023/10/23/demonstreren-voor-vrede-met-steun-uit-rusland-a4178281?utm_source=chatgpt.com" TargetMode="External"/><Relationship Id="rId98" Type="http://schemas.openxmlformats.org/officeDocument/2006/relationships/hyperlink" Target="https://www.reuters.com/investigations/russia-linked-propaganda-campaign-pushes-undercut-german-support-ukraine-2025-02-18/?utm_source=chatgpt.com" TargetMode="External"/><Relationship Id="rId121" Type="http://schemas.openxmlformats.org/officeDocument/2006/relationships/hyperlink" Target="https://nos.nl/artikel/2584475-vluchten-omgeleid-in-noorwegen-na-dronewaarnemingen" TargetMode="External"/><Relationship Id="rId142" Type="http://schemas.openxmlformats.org/officeDocument/2006/relationships/hyperlink" Target="https://www.bbc.com/news/articles/c62040np372o" TargetMode="External"/><Relationship Id="rId3" Type="http://schemas.openxmlformats.org/officeDocument/2006/relationships/hyperlink" Target="https://nos.nl/artikel/2521382-poolse-premier-tusk-russen-mogelijk-achter-brand-in-enorm-winkelcentrum" TargetMode="External"/><Relationship Id="rId25" Type="http://schemas.openxmlformats.org/officeDocument/2006/relationships/hyperlink" Target="https://apnews.com/article/olympics-2024-paris-france-security-threat-c8f5fc72c5ed49fdf81a0b5c7a3e41c3" TargetMode="External"/><Relationship Id="rId46" Type="http://schemas.openxmlformats.org/officeDocument/2006/relationships/hyperlink" Target="https://www.dw.com/en/estonia-says-russian-guards-removed-navigation-buoys-on-border/a-69164989" TargetMode="External"/><Relationship Id="rId67" Type="http://schemas.openxmlformats.org/officeDocument/2006/relationships/hyperlink" Target="https://nos.nl/artikel/2493598-gas-en-telecomverbinding-tussen-finland-en-estland-beschadigd-mogelijk-sabotage" TargetMode="External"/><Relationship Id="rId116" Type="http://schemas.openxmlformats.org/officeDocument/2006/relationships/hyperlink" Target="https://www.theguardian.com/world/2025/aug/14/russian-hackers-control-norwegian-dam-norway" TargetMode="External"/><Relationship Id="rId137" Type="http://schemas.openxmlformats.org/officeDocument/2006/relationships/hyperlink" Target="https://www.irishexaminer.com/news/arid-41763413.html" TargetMode="External"/><Relationship Id="rId20" Type="http://schemas.openxmlformats.org/officeDocument/2006/relationships/hyperlink" Target="https://vsquare.org/russia-sabotage-operations-baltics/" TargetMode="External"/><Relationship Id="rId41" Type="http://schemas.openxmlformats.org/officeDocument/2006/relationships/hyperlink" Target="https://www.washingtonpost.com/world/2023/04/21/germany-russia-interference-afd-wagenknecht/" TargetMode="External"/><Relationship Id="rId62" Type="http://schemas.openxmlformats.org/officeDocument/2006/relationships/hyperlink" Target="https://www.sgdsn.gouv.fr/files/files/20240212_NP_SGDSN_VIGINUM_PORTAL-KOMBAT-NETWORK_ENG_VF.pdf" TargetMode="External"/><Relationship Id="rId83" Type="http://schemas.openxmlformats.org/officeDocument/2006/relationships/hyperlink" Target="https://www.disinfo.eu/doppelganger-operation/" TargetMode="External"/><Relationship Id="rId88" Type="http://schemas.openxmlformats.org/officeDocument/2006/relationships/hyperlink" Target="https://www.theguardian.com/world/2025/may/12/france-derides-russia-false-claim-drug-use-macron-merz-starmer" TargetMode="External"/><Relationship Id="rId111" Type="http://schemas.openxmlformats.org/officeDocument/2006/relationships/hyperlink" Target="https://tvpworld.com/83583542/lithuania-detains-two-spaniards-over-alleged-arson-plot" TargetMode="External"/><Relationship Id="rId132" Type="http://schemas.openxmlformats.org/officeDocument/2006/relationships/hyperlink" Target="https://nos.nl/artikel/2589219-vliegverkeer-brussel-en-luik-opnieuw-stilgelegd-om-melding-van-drones" TargetMode="External"/><Relationship Id="rId15" Type="http://schemas.openxmlformats.org/officeDocument/2006/relationships/hyperlink" Target="https://vsquare.org/russia-sabotage-operations-baltics/" TargetMode="External"/><Relationship Id="rId36" Type="http://schemas.openxmlformats.org/officeDocument/2006/relationships/hyperlink" Target="https://www.wired.com/story/cyber-army-of-russia-reborn-sandworm-us-cyberattacks/" TargetMode="External"/><Relationship Id="rId57" Type="http://schemas.openxmlformats.org/officeDocument/2006/relationships/hyperlink" Target="https://www.independent.co.uk/news/russia-ap-poland-germany-gru-b2641912.html" TargetMode="External"/><Relationship Id="rId106" Type="http://schemas.openxmlformats.org/officeDocument/2006/relationships/hyperlink" Target="https://www.mediapart.fr/en/journal/international/090125/operation-red-hands-france-neo-nazi-agents-provocateurs-kremlins-pay" TargetMode="External"/><Relationship Id="rId127" Type="http://schemas.openxmlformats.org/officeDocument/2006/relationships/hyperlink" Target="https://www.politico.eu/article/15-suspicious-drones-spotted-above-belgium-military-base/" TargetMode="External"/><Relationship Id="rId10" Type="http://schemas.openxmlformats.org/officeDocument/2006/relationships/hyperlink" Target="https://www.cbsnews.com/news/russian-defector-maxim-kuzminov-killing-60-minutes/" TargetMode="External"/><Relationship Id="rId31" Type="http://schemas.openxmlformats.org/officeDocument/2006/relationships/hyperlink" Target="https://denikn.cz/1388809/european-politicians-on-putins-payroll-russians-attempted-to-influence-european-elections-from-prague/" TargetMode="External"/><Relationship Id="rId52" Type="http://schemas.openxmlformats.org/officeDocument/2006/relationships/hyperlink" Target="https://www.wsj.com/world/europe/brush-with-russia-in-baltic-points-to-new-flashpoint-in-nato-moscow-shadow-war-08b5b182" TargetMode="External"/><Relationship Id="rId73" Type="http://schemas.openxmlformats.org/officeDocument/2006/relationships/hyperlink" Target="https://apnews.com/article/finland-russia-border-frontex-guards-2fc202b3a900d6887e0152b235a0a00d" TargetMode="External"/><Relationship Id="rId78" Type="http://schemas.openxmlformats.org/officeDocument/2006/relationships/hyperlink" Target="https://en.belsat.eu/83462737/polish-internal-security-agency-detains-saboteur-from-belarus" TargetMode="External"/><Relationship Id="rId94" Type="http://schemas.openxmlformats.org/officeDocument/2006/relationships/hyperlink" Target="https://www.nrc.nl/nieuws/2023/10/23/demonstreren-voor-vrede-met-steun-uit-rusland-a4178281?utm_source=chatgpt.com" TargetMode="External"/><Relationship Id="rId99" Type="http://schemas.openxmlformats.org/officeDocument/2006/relationships/hyperlink" Target="https://www.reuters.com/investigations/russia-linked-propaganda-campaign-pushes-undercut-german-support-ukraine-2025-02-18/?utm_source=chatgpt.com" TargetMode="External"/><Relationship Id="rId101" Type="http://schemas.openxmlformats.org/officeDocument/2006/relationships/hyperlink" Target="https://nos.nl/nieuwsuur/collectie/13998/artikel/2571889-man-in-nederland-ingehuurd-voor-verkenning-aanslag-met-dhl-pakket" TargetMode="External"/><Relationship Id="rId122" Type="http://schemas.openxmlformats.org/officeDocument/2006/relationships/hyperlink" Target="https://www.bbc.com/news/articles/cx25414vg7lo" TargetMode="External"/><Relationship Id="rId143" Type="http://schemas.openxmlformats.org/officeDocument/2006/relationships/hyperlink" Target="https://www.pravda.com.ua/eng/news/2025/02/07/7497221/" TargetMode="External"/><Relationship Id="rId4" Type="http://schemas.openxmlformats.org/officeDocument/2006/relationships/hyperlink" Target="https://www.sueddeutsche.de/politik/sabotage-russland-nato-pipeline-geheimdienst-1.7253897?reduced=true" TargetMode="External"/><Relationship Id="rId9" Type="http://schemas.openxmlformats.org/officeDocument/2006/relationships/hyperlink" Target="https://nos.nl/artikel/2543602-finse-vliegvelden-terug-naar-radionavigatie-tegen-russische-gps-verstoring" TargetMode="External"/><Relationship Id="rId26" Type="http://schemas.openxmlformats.org/officeDocument/2006/relationships/hyperlink" Target="https://www.bbc.com/news/articles/cldd7n97dvro" TargetMode="External"/><Relationship Id="rId47" Type="http://schemas.openxmlformats.org/officeDocument/2006/relationships/hyperlink" Target="https://www.politico.eu/article/russian-sabotage-threat-geilenkirchen-nato-air-base-germany-security/" TargetMode="External"/><Relationship Id="rId68" Type="http://schemas.openxmlformats.org/officeDocument/2006/relationships/hyperlink" Target="https://www.svt.se/nyheter/lokalt/ost/utredning-om-misstankt-vattensabotage-pa-gotland-laggs-ned" TargetMode="External"/><Relationship Id="rId89" Type="http://schemas.openxmlformats.org/officeDocument/2006/relationships/hyperlink" Target="https://www.disinfo.eu/doppelganger-operation/" TargetMode="External"/><Relationship Id="rId112" Type="http://schemas.openxmlformats.org/officeDocument/2006/relationships/hyperlink" Target="https://www.thetimes.com/world/europe/article/paris-olympics-2024-balconies-collapse-risk-seine-0fcsphgs9" TargetMode="External"/><Relationship Id="rId133" Type="http://schemas.openxmlformats.org/officeDocument/2006/relationships/hyperlink" Target="https://nos.nl/artikel/2589499-opnieuw-verstoring-luchtverkeer-belgie-en-zweden-na-dronemeldingen" TargetMode="External"/><Relationship Id="rId16" Type="http://schemas.openxmlformats.org/officeDocument/2006/relationships/hyperlink" Target="https://vsquare.org/russia-sabotage-operations-baltics/"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6" Type="http://schemas.openxmlformats.org/officeDocument/2006/relationships/hyperlink" Target="https://www.bbc.com/news/articles/c4gpd8ex4l3o" TargetMode="External"/><Relationship Id="rId21" Type="http://schemas.openxmlformats.org/officeDocument/2006/relationships/hyperlink" Target="https://www.aljazeera.com/news/2024/11/12/moldova-formally-protests-alleged-russian-election-meddling" TargetMode="External"/><Relationship Id="rId42" Type="http://schemas.openxmlformats.org/officeDocument/2006/relationships/hyperlink" Target="https://www.bbc.com/news/articles/c8dg48g79jvo" TargetMode="External"/><Relationship Id="rId47" Type="http://schemas.openxmlformats.org/officeDocument/2006/relationships/hyperlink" Target="https://www.lrt.lt/naujienos/lietuvoje/2/2486702/nkvc-peticija-uzdrausti-rusijos-traukiniu-tranzita-turi-hibridines-atakos-pozymiu" TargetMode="External"/><Relationship Id="rId63" Type="http://schemas.openxmlformats.org/officeDocument/2006/relationships/hyperlink" Target="https://www.dw.com/en/germany-investigating-suspected-russian-drones-over-air-base/a-71285983" TargetMode="External"/><Relationship Id="rId68" Type="http://schemas.openxmlformats.org/officeDocument/2006/relationships/hyperlink" Target="https://theins.ru/en/politics/274573" TargetMode="External"/><Relationship Id="rId84" Type="http://schemas.openxmlformats.org/officeDocument/2006/relationships/hyperlink" Target="https://nos.nl/artikel/2586405-nederlandse-militairen-in-polen-gehinderd-door-onbekende-drones" TargetMode="External"/><Relationship Id="rId89" Type="http://schemas.openxmlformats.org/officeDocument/2006/relationships/hyperlink" Target="https://militarnyi.com/en/news/czech-military-spots-unidentified-drones-over-military-bases/" TargetMode="External"/><Relationship Id="rId16" Type="http://schemas.openxmlformats.org/officeDocument/2006/relationships/hyperlink" Target="https://www.ft.com/content/f8207823-f5e1-4caf-934d-67c648f807bf" TargetMode="External"/><Relationship Id="rId11" Type="http://schemas.openxmlformats.org/officeDocument/2006/relationships/hyperlink" Target="https://www.railfreight.com/infrastructure/2024/10/09/climate-change-likely-major-factor-in-iron-ore-line-derailments/?gdpr=deny" TargetMode="External"/><Relationship Id="rId32" Type="http://schemas.openxmlformats.org/officeDocument/2006/relationships/hyperlink" Target="https://therecord.media/hackers-breach-news-website-false-article-slovakia-assassination" TargetMode="External"/><Relationship Id="rId37" Type="http://schemas.openxmlformats.org/officeDocument/2006/relationships/hyperlink" Target="https://www.aivd.nl/actueel/nieuws/2024/07/09/nederland-en-vs-verstoren-russische-digitale-beinvloedingsoperatie" TargetMode="External"/><Relationship Id="rId53" Type="http://schemas.openxmlformats.org/officeDocument/2006/relationships/hyperlink" Target="https://www.svt.se/nyheter/inrikes/granskning-angrepp-mot-30-tal-telemaster-utreds-som-sabotage" TargetMode="External"/><Relationship Id="rId58" Type="http://schemas.openxmlformats.org/officeDocument/2006/relationships/hyperlink" Target="https://www.wired.com/story/poland-train-radio-stop-attack/" TargetMode="External"/><Relationship Id="rId74" Type="http://schemas.openxmlformats.org/officeDocument/2006/relationships/hyperlink" Target="https://www.n-tv.de/panorama/Russland-verdaechtigt-Grossbrand-bei-Ruestungsfirma-Diehl-in-Berlin-Lichterfelde-war-keine-Sabotage-article25428918.html" TargetMode="External"/><Relationship Id="rId79" Type="http://schemas.openxmlformats.org/officeDocument/2006/relationships/hyperlink" Target="https://www.reuters.com/business/aerospace-defense/russias-suspected-hybrid-war-puts-european-air-defences-test-2025-11-05/" TargetMode="External"/><Relationship Id="rId5" Type="http://schemas.openxmlformats.org/officeDocument/2006/relationships/hyperlink" Target="https://www.theguardian.com/world/article/2024/aug/15/ukrainian-team-blew-up-nord-stream-pipeline-claims-report" TargetMode="External"/><Relationship Id="rId90" Type="http://schemas.openxmlformats.org/officeDocument/2006/relationships/hyperlink" Target="https://www.dronewatch.nl/2025/12/23/dronemeldingen-boven-volkel-en-eindhoven-detectie-ontbrak-bewijs-blijft-uit/" TargetMode="External"/><Relationship Id="rId22" Type="http://schemas.openxmlformats.org/officeDocument/2006/relationships/hyperlink" Target="https://www.tagesschau.de/inland/innenpolitik/mad-praesidentin-101.html" TargetMode="External"/><Relationship Id="rId27" Type="http://schemas.openxmlformats.org/officeDocument/2006/relationships/hyperlink" Target="https://dragoer-nyt.dk/2025/01/24/natlige-droneflyvninger-skaber-undren-kan-der-vaere-forbindelse-til-koege/" TargetMode="External"/><Relationship Id="rId43" Type="http://schemas.openxmlformats.org/officeDocument/2006/relationships/hyperlink" Target="https://www.theguardian.com/business/2025/mar/12/north-sea-ship-collision-foul-play-technical-fault-or-human-error" TargetMode="External"/><Relationship Id="rId48" Type="http://schemas.openxmlformats.org/officeDocument/2006/relationships/hyperlink" Target="https://kyivindependent.com/explosion-hits-ammunition-depot-at-policske-strojirny-plant-in-czechia-media-reports/" TargetMode="External"/><Relationship Id="rId64" Type="http://schemas.openxmlformats.org/officeDocument/2006/relationships/hyperlink" Target="https://www.spiegel.de/panorama/justiz/erfurt-propagandakanaele-aus-russland-feiern-brandanschlag-auf-bundeswehr-lkw-a-1181cabe-4d3f-4c01-a7db-6bc9a360e6cc" TargetMode="External"/><Relationship Id="rId69" Type="http://schemas.openxmlformats.org/officeDocument/2006/relationships/hyperlink" Target="https://english.nv.ua/nation/sabotaged-german-military-trucks-unrelated-to-ukraine-50525680.html" TargetMode="External"/><Relationship Id="rId8" Type="http://schemas.openxmlformats.org/officeDocument/2006/relationships/hyperlink" Target="https://www.4coffshore.com/news/bornholm-suffers-power-outage-after-subsea-cable-trips-nid26508.html" TargetMode="External"/><Relationship Id="rId51" Type="http://schemas.openxmlformats.org/officeDocument/2006/relationships/hyperlink" Target="https://news.postimees.ee/8256810/prosecutor-the-unit-to-be-established-by-aivo-peterson-was-intended-to-fulfill-the-army-s-role-in-a-power-vacuum" TargetMode="External"/><Relationship Id="rId72" Type="http://schemas.openxmlformats.org/officeDocument/2006/relationships/hyperlink" Target="https://www.euronews.com/my-europe/2025/09/09/examining-contradicting-claims-of-russian-gps-jamming-targeting-von-der-leyens-flight" TargetMode="External"/><Relationship Id="rId80" Type="http://schemas.openxmlformats.org/officeDocument/2006/relationships/hyperlink" Target="https://www.reuters.com/world/norway-police-end-oslo-airport-drone-probe-citing-lack-evidence-2025-11-06/" TargetMode="External"/><Relationship Id="rId85" Type="http://schemas.openxmlformats.org/officeDocument/2006/relationships/hyperlink" Target="https://nltimes.nl/2025/10/14/unidentified-drones-disrupted-communications-dutch-military-training-poland" TargetMode="External"/><Relationship Id="rId93" Type="http://schemas.openxmlformats.org/officeDocument/2006/relationships/hyperlink" Target="https://www.thelocal.dk/20251219/denmark-blames-cyberattacks-on-groups-tied-to-russian-state" TargetMode="External"/><Relationship Id="rId3" Type="http://schemas.openxmlformats.org/officeDocument/2006/relationships/hyperlink" Target="https://www.thesun.co.uk/news/31458264/real-reason-blaze-submarine-factory/" TargetMode="External"/><Relationship Id="rId12" Type="http://schemas.openxmlformats.org/officeDocument/2006/relationships/hyperlink" Target="https://www.gov.pl/web/special-services/the-kremlins-operation-against-poland" TargetMode="External"/><Relationship Id="rId17" Type="http://schemas.openxmlformats.org/officeDocument/2006/relationships/hyperlink" Target="https://www.bbc.com/news/uk-wales-68836649" TargetMode="External"/><Relationship Id="rId25" Type="http://schemas.openxmlformats.org/officeDocument/2006/relationships/hyperlink" Target="https://www.climatechangenews.com/2024/01/26/after-gas-pipeline-sabotage-german-activists-claim-solidarity-against-us-gas-export-terminals/" TargetMode="External"/><Relationship Id="rId33" Type="http://schemas.openxmlformats.org/officeDocument/2006/relationships/hyperlink" Target="https://www.sueddeutsche.de/politik/marine-fregatte-hessen-russland-sabotage-lux.XwiW5BCrd2wQhSkYDSNQtL?reduced=true" TargetMode="External"/><Relationship Id="rId38" Type="http://schemas.openxmlformats.org/officeDocument/2006/relationships/hyperlink" Target="https://www.euractiv.com/section/politics/news/suspected-russian-drone-over-eu-hub-in-italy-triggers-espionage-terror-probe/" TargetMode="External"/><Relationship Id="rId46" Type="http://schemas.openxmlformats.org/officeDocument/2006/relationships/hyperlink" Target="https://www.thetimes.com/uk/defence/article/russia-secret-war-uk-waters-submarines-dpbzphfx5" TargetMode="External"/><Relationship Id="rId59" Type="http://schemas.openxmlformats.org/officeDocument/2006/relationships/hyperlink" Target="https://www.wired.com/story/france-paris-internet-cable-cuts-attack/" TargetMode="External"/><Relationship Id="rId67" Type="http://schemas.openxmlformats.org/officeDocument/2006/relationships/hyperlink" Target="https://www.bbc.com/news/world-europe-68854314" TargetMode="External"/><Relationship Id="rId20" Type="http://schemas.openxmlformats.org/officeDocument/2006/relationships/hyperlink" Target="https://www.euronews.com/2023/08/31/is-russian-sabotage-behind-20-recent-train-accidents-in-poland" TargetMode="External"/><Relationship Id="rId41" Type="http://schemas.openxmlformats.org/officeDocument/2006/relationships/hyperlink" Target="https://www.telegraph.co.uk/world-news/2025/04/07/russians-internet-search-before-attack-mannheim-germany/" TargetMode="External"/><Relationship Id="rId54" Type="http://schemas.openxmlformats.org/officeDocument/2006/relationships/hyperlink" Target="https://www.newsweek.com/nato-ally-reveals-mass-act-unexplained-sabotage-2081784" TargetMode="External"/><Relationship Id="rId62" Type="http://schemas.openxmlformats.org/officeDocument/2006/relationships/hyperlink" Target="https://www.dw.com/en/germany-investigating-suspected-russian-drones-over-air-base/a-71285983" TargetMode="External"/><Relationship Id="rId70" Type="http://schemas.openxmlformats.org/officeDocument/2006/relationships/hyperlink" Target="https://united24media.com/latest-news/belarusian-national-in-poland-accused-of-planning-sabotage-across-european-union-10566" TargetMode="External"/><Relationship Id="rId75" Type="http://schemas.openxmlformats.org/officeDocument/2006/relationships/hyperlink" Target="https://securityaffairs.com/183567/cyber-crime/from-airport-chaos-to-cyber-intrigue-everest-gang-takes-credit-for-collins-aerospace-breach.html" TargetMode="External"/><Relationship Id="rId83" Type="http://schemas.openxmlformats.org/officeDocument/2006/relationships/hyperlink" Target="https://www.dronewatch.nl/2025/09/23/osint-community-concludeert-drone-bij-kopenhagen-was-vliegtuig/" TargetMode="External"/><Relationship Id="rId88" Type="http://schemas.openxmlformats.org/officeDocument/2006/relationships/hyperlink" Target="https://www.ft.com/content/0fb7a268-1bf6-4faf-ac60-67c53ddf1e62" TargetMode="External"/><Relationship Id="rId91" Type="http://schemas.openxmlformats.org/officeDocument/2006/relationships/hyperlink" Target="https://nos.nl/artikel/2591497-luchtmacht-heeft-wapens-ingezet-tegen-5-tot-10-drones-boven-vliegbasis-volkel" TargetMode="External"/><Relationship Id="rId1" Type="http://schemas.openxmlformats.org/officeDocument/2006/relationships/hyperlink" Target="https://apnews.com/article/criminal-investigation-drones-over-us-air-force-operations-uk-2311fdcdc78db0041b749b43b76e760d" TargetMode="External"/><Relationship Id="rId6" Type="http://schemas.openxmlformats.org/officeDocument/2006/relationships/hyperlink" Target="https://techblog.comsoc.org/2022/11/05/was-russia-or-a-fishing-trawler-responsible-for-shetland-island-cable-cut/" TargetMode="External"/><Relationship Id="rId15" Type="http://schemas.openxmlformats.org/officeDocument/2006/relationships/hyperlink" Target="https://nos.nl/artikel/2546871-breuken-in-internetkabel-in-finland-politie-vermoedt-geen-opzet" TargetMode="External"/><Relationship Id="rId23" Type="http://schemas.openxmlformats.org/officeDocument/2006/relationships/hyperlink" Target="https://www.zeit.de/politik/ausland/2024-12/russische-sabotage-europa-spionage-pipelines-hackerangriffe" TargetMode="External"/><Relationship Id="rId28" Type="http://schemas.openxmlformats.org/officeDocument/2006/relationships/hyperlink" Target="https://www.spiegel.de/panorama/justiz/spionage-drohnen-ueber-ramstein-rheinmetall-und-basf-gesichtet-a-e97bfa4c-e7fb-4d33-9a69-9e109968787b" TargetMode="External"/><Relationship Id="rId36" Type="http://schemas.openxmlformats.org/officeDocument/2006/relationships/hyperlink" Target="https://www.theguardian.com/news/2025/feb/28/russia-linked-telegram-channels-offering-to-pay-for-attacks-on-mosques" TargetMode="External"/><Relationship Id="rId49" Type="http://schemas.openxmlformats.org/officeDocument/2006/relationships/hyperlink" Target="https://www.volkskrant.nl/binnenland/onbekende-russische-groep-zat-achter-hack-bij-nederlandse-politie-zeggen-inlichtingendiensten~bf3db462/?referrer=https%3A%2F%2Fwww.linkedin.com%2F" TargetMode="External"/><Relationship Id="rId57" Type="http://schemas.openxmlformats.org/officeDocument/2006/relationships/hyperlink" Target="https://www.pacw.org/blackout-watch-issue-062-december-2022" TargetMode="External"/><Relationship Id="rId10" Type="http://schemas.openxmlformats.org/officeDocument/2006/relationships/hyperlink" Target="https://archive.ph/urLAk" TargetMode="External"/><Relationship Id="rId31" Type="http://schemas.openxmlformats.org/officeDocument/2006/relationships/hyperlink" Target="https://nos.nl/artikel/2553366-onderzeekabel-in-oostzee-beschadigd-door-invloed-van-buitenaf" TargetMode="External"/><Relationship Id="rId44" Type="http://schemas.openxmlformats.org/officeDocument/2006/relationships/hyperlink" Target="https://www.theguardian.com/business/2025/mar/12/north-sea-ship-collision-foul-play-technical-fault-or-human-error" TargetMode="External"/><Relationship Id="rId52" Type="http://schemas.openxmlformats.org/officeDocument/2006/relationships/hyperlink" Target="https://www.straitstimes.com/world/europe/fire-guts-aid-donated-for-ukrainians-in-greece" TargetMode="External"/><Relationship Id="rId60" Type="http://schemas.openxmlformats.org/officeDocument/2006/relationships/hyperlink" Target="https://www.france24.com/en/france/20240729-far-left-extremists-likely-behind-france-rail-sabotage-minister-says" TargetMode="External"/><Relationship Id="rId65" Type="http://schemas.openxmlformats.org/officeDocument/2006/relationships/hyperlink" Target="https://tvpworld.com/87853791/poland-suspects-potential-sabotage-behind-recent-fires" TargetMode="External"/><Relationship Id="rId73" Type="http://schemas.openxmlformats.org/officeDocument/2006/relationships/hyperlink" Target="https://www.bbc.com/news/articles/cvgq19751d6o" TargetMode="External"/><Relationship Id="rId78" Type="http://schemas.openxmlformats.org/officeDocument/2006/relationships/hyperlink" Target="https://www.dw.com/en/berlin-airport-briefly-halts-flights-due-to-drone-sightings/a-74579743" TargetMode="External"/><Relationship Id="rId81" Type="http://schemas.openxmlformats.org/officeDocument/2006/relationships/hyperlink" Target="https://www.reuters.com/business/aerospace-defense/copenhagen-airport-halts-traffic-due-drone-sightings-police-says-2025-09-22/" TargetMode="External"/><Relationship Id="rId86" Type="http://schemas.openxmlformats.org/officeDocument/2006/relationships/hyperlink" Target="https://www.dronewatch.nl/2025/11/14/interne-memo-onthult-luchtverkeersleiders-zagen-geen-drones-bij-kopenhagen-airport/" TargetMode="External"/><Relationship Id="rId4" Type="http://schemas.openxmlformats.org/officeDocument/2006/relationships/hyperlink" Target="https://kyivindependent.com/poland-says-no-external-force-behind-fatal-arms-plant-explosion/" TargetMode="External"/><Relationship Id="rId9" Type="http://schemas.openxmlformats.org/officeDocument/2006/relationships/hyperlink" Target="https://en.wikipedia.org/wiki/Nord_Stream_pipelines_sabotage" TargetMode="External"/><Relationship Id="rId13" Type="http://schemas.openxmlformats.org/officeDocument/2006/relationships/hyperlink" Target="https://www.brusselstimes.com/311704/fibre-optic-cable-sabotage-causes-global-internet-slowdown" TargetMode="External"/><Relationship Id="rId18" Type="http://schemas.openxmlformats.org/officeDocument/2006/relationships/hyperlink" Target="https://en.wikipedia.org/wiki/October_2022_German_railway_attack" TargetMode="External"/><Relationship Id="rId39" Type="http://schemas.openxmlformats.org/officeDocument/2006/relationships/hyperlink" Target="https://www.telegraph.co.uk/world-news/2025/03/23/germany-fears-russia-behind-asylum-seeker-terror-attacks/" TargetMode="External"/><Relationship Id="rId34" Type="http://schemas.openxmlformats.org/officeDocument/2006/relationships/hyperlink" Target="https://www.spiegel.de/politik/rostocker-justiz-ermittelt-wegen-sabotageverdacht-an-minenjagdboot-a-7201997c-ff7e-4f85-bbfa-b75fafcf82ab" TargetMode="External"/><Relationship Id="rId50" Type="http://schemas.openxmlformats.org/officeDocument/2006/relationships/hyperlink" Target="https://www.euronews.com/my-europe/2025/05/26/two-anarchist-groups-claim-responsibility-for-cannes-and-nice-power-outages" TargetMode="External"/><Relationship Id="rId55" Type="http://schemas.openxmlformats.org/officeDocument/2006/relationships/hyperlink" Target="https://nos.nl/nieuwsuur/artikel/2570629-verdachte-steekpartij-bij-de-dam-is-oekraiense-deserteur-die-naar-gevangenis-wilde" TargetMode="External"/><Relationship Id="rId76" Type="http://schemas.openxmlformats.org/officeDocument/2006/relationships/hyperlink" Target="https://www.handelsblatt.com/politik/deutschland/afd-spionage-im-auftrag-des-kremls-spd-innenminister-schlaegt-alarm/100163924.html" TargetMode="External"/><Relationship Id="rId7" Type="http://schemas.openxmlformats.org/officeDocument/2006/relationships/hyperlink" Target="https://www.france24.com/en/france/20240729-far-left-extremists-likely-behind-france-rail-sabotage-minister-says" TargetMode="External"/><Relationship Id="rId71" Type="http://schemas.openxmlformats.org/officeDocument/2006/relationships/hyperlink" Target="https://apnews.com/article/poland-drone-president-residence-belarus-2c91885fb7329d1f008e75b10b25365b" TargetMode="External"/><Relationship Id="rId92" Type="http://schemas.openxmlformats.org/officeDocument/2006/relationships/hyperlink" Target="https://www.ndr.de/nachrichten/niedersachsen/hannover_weser-leinegebiet/celle-drohnen-ueber-kaserne-gesichtet-polizei-ermittelt,aktuellhannover-1218.html" TargetMode="External"/><Relationship Id="rId2" Type="http://schemas.openxmlformats.org/officeDocument/2006/relationships/hyperlink" Target="https://www.thelocal.se/20240909/what-do-we-know-about-the-drone-incident-at-swedens-arlanda-airport" TargetMode="External"/><Relationship Id="rId29" Type="http://schemas.openxmlformats.org/officeDocument/2006/relationships/hyperlink" Target="https://www.dw.com/en/germany-investigating-suspected-russian-drones-over-air-base/a-71285983" TargetMode="External"/><Relationship Id="rId24" Type="http://schemas.openxmlformats.org/officeDocument/2006/relationships/hyperlink" Target="https://www.zeit.de/wirtschaft/2024-01/lng-pipeline-brunsbuettel-hetlingen-sabotageverdacht-millionenschaden" TargetMode="External"/><Relationship Id="rId40" Type="http://schemas.openxmlformats.org/officeDocument/2006/relationships/hyperlink" Target="https://www.vrt.be/vrtnws/nl/2024/03/27/hoe-rusland-ook-ons-land-online-viseert-van-evras-tot-decroomu/" TargetMode="External"/><Relationship Id="rId45" Type="http://schemas.openxmlformats.org/officeDocument/2006/relationships/hyperlink" Target="https://www.thetimes.com/uk/transport/article/north-sea-crash-solong-ship-stena-immaculate-gk8ff56q9" TargetMode="External"/><Relationship Id="rId66" Type="http://schemas.openxmlformats.org/officeDocument/2006/relationships/hyperlink" Target="https://www.tvp.info/87578988/wojna-rosja-ukraina-rosja-wzywa-wegrow-zakarpackich-do-dzialan-terrorystycznych-w-ukrainie" TargetMode="External"/><Relationship Id="rId87" Type="http://schemas.openxmlformats.org/officeDocument/2006/relationships/hyperlink" Target="https://www.vrt.be/vrtnws/nl/2025/11/12/check-drones-zaventem-heverlee-melsbroek-helikopter-vliegtuig/" TargetMode="External"/><Relationship Id="rId61" Type="http://schemas.openxmlformats.org/officeDocument/2006/relationships/hyperlink" Target="https://www.railfreight.com/infrastructure/2024/10/09/climate-change-likely-major-factor-in-iron-ore-line-derailments/?gdpr=deny" TargetMode="External"/><Relationship Id="rId82" Type="http://schemas.openxmlformats.org/officeDocument/2006/relationships/hyperlink" Target="https://www.reuters.com/business/aerospace-defense/copenhagen-airport-halts-traffic-due-drone-sightings-police-says-2025-09-22/" TargetMode="External"/><Relationship Id="rId19" Type="http://schemas.openxmlformats.org/officeDocument/2006/relationships/hyperlink" Target="https://www.spiegel.de/ausland/ostsee-russisches-schiff-schiesst-mit-leuchtmunition-auf-bundeswehr-hubschrauber-a-f0716e62-bd88-4c23-86e6-938980b8e631" TargetMode="External"/><Relationship Id="rId14" Type="http://schemas.openxmlformats.org/officeDocument/2006/relationships/hyperlink" Target="https://www.aljazeera.com/news/2023/1/17/europe-awakens-to-the-threat-of-sabotage-by-russian-agents" TargetMode="External"/><Relationship Id="rId30" Type="http://schemas.openxmlformats.org/officeDocument/2006/relationships/hyperlink" Target="https://www.baltictimes.com/swedish_authorities_rule_out_sabotage_in_lvrtc_cable_incident/" TargetMode="External"/><Relationship Id="rId35" Type="http://schemas.openxmlformats.org/officeDocument/2006/relationships/hyperlink" Target="https://www.sueddeutsche.de/politik/sabotageverdacht-werft-hamburg-emden-korvette-russland-lux.NSxiEDNNr3C1Vwse6P4hDA?reduced=true" TargetMode="External"/><Relationship Id="rId56" Type="http://schemas.openxmlformats.org/officeDocument/2006/relationships/hyperlink" Target="https://www.nrk.no/tromsogfinnmark/this-is-what-the-damaged-svalbard-cable-looked-like-when-it-came-up-from-the-depths-1.16895904" TargetMode="External"/><Relationship Id="rId77" Type="http://schemas.openxmlformats.org/officeDocument/2006/relationships/hyperlink" Target="https://www.luchtvaartnieuws.nl/nieuws/categorie/3/airports/vliegverkeer-bremen-uur-lang-verstoord-door-mogelijke-drone"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n-tv.de/panorama/Russland-verdaechtigt-Grossbrand-bei-Ruestungsfirma-Diehl-in-Berlin-Lichterfelde-war-keine-Sabotage-article25428918.html" TargetMode="External"/><Relationship Id="rId2" Type="http://schemas.openxmlformats.org/officeDocument/2006/relationships/hyperlink" Target="https://www.dw.com/en/germany-drones-spotted-over-us-air-base-in-ramstein/a-71053878" TargetMode="External"/><Relationship Id="rId1" Type="http://schemas.openxmlformats.org/officeDocument/2006/relationships/hyperlink" Target="https://www.lemonde.fr/en/international/article/2024/08/24/germany-concerned-about-russian-drone-overflights-of-sensitive-civilian-and-military-sites_6720841_4.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49408-019E-D342-B241-8A861A537194}">
  <sheetPr codeName="Sheet1"/>
  <dimension ref="A1:B59"/>
  <sheetViews>
    <sheetView tabSelected="1" workbookViewId="0">
      <selection activeCell="A6" sqref="A6"/>
    </sheetView>
  </sheetViews>
  <sheetFormatPr baseColWidth="10" defaultRowHeight="16" x14ac:dyDescent="0.2"/>
  <cols>
    <col min="1" max="1" width="49" customWidth="1"/>
  </cols>
  <sheetData>
    <row r="1" spans="1:2" x14ac:dyDescent="0.2">
      <c r="A1" s="1" t="s">
        <v>173</v>
      </c>
    </row>
    <row r="2" spans="1:2" x14ac:dyDescent="0.2">
      <c r="A2">
        <v>1</v>
      </c>
      <c r="B2" t="s">
        <v>165</v>
      </c>
    </row>
    <row r="3" spans="1:2" x14ac:dyDescent="0.2">
      <c r="A3">
        <v>2</v>
      </c>
      <c r="B3" t="s">
        <v>166</v>
      </c>
    </row>
    <row r="4" spans="1:2" x14ac:dyDescent="0.2">
      <c r="A4">
        <v>3</v>
      </c>
      <c r="B4" t="s">
        <v>223</v>
      </c>
    </row>
    <row r="5" spans="1:2" x14ac:dyDescent="0.2">
      <c r="A5">
        <v>4</v>
      </c>
      <c r="B5" t="s">
        <v>393</v>
      </c>
    </row>
    <row r="6" spans="1:2" x14ac:dyDescent="0.2">
      <c r="A6">
        <v>5</v>
      </c>
      <c r="B6" t="s">
        <v>477</v>
      </c>
    </row>
    <row r="7" spans="1:2" x14ac:dyDescent="0.2">
      <c r="A7">
        <v>6</v>
      </c>
      <c r="B7" t="s">
        <v>216</v>
      </c>
    </row>
    <row r="8" spans="1:2" x14ac:dyDescent="0.2">
      <c r="A8">
        <v>7</v>
      </c>
      <c r="B8" t="s">
        <v>167</v>
      </c>
    </row>
    <row r="9" spans="1:2" x14ac:dyDescent="0.2">
      <c r="A9">
        <v>8</v>
      </c>
      <c r="B9" t="s">
        <v>478</v>
      </c>
    </row>
    <row r="10" spans="1:2" x14ac:dyDescent="0.2">
      <c r="A10">
        <v>9</v>
      </c>
      <c r="B10" t="s">
        <v>170</v>
      </c>
    </row>
    <row r="11" spans="1:2" x14ac:dyDescent="0.2">
      <c r="A11">
        <v>10</v>
      </c>
      <c r="B11" t="s">
        <v>171</v>
      </c>
    </row>
    <row r="13" spans="1:2" x14ac:dyDescent="0.2">
      <c r="A13" s="1" t="s">
        <v>213</v>
      </c>
      <c r="B13" s="7">
        <v>46034</v>
      </c>
    </row>
    <row r="14" spans="1:2" x14ac:dyDescent="0.2">
      <c r="A14" s="1" t="s">
        <v>214</v>
      </c>
      <c r="B14" s="12" t="s">
        <v>215</v>
      </c>
    </row>
    <row r="15" spans="1:2" x14ac:dyDescent="0.2">
      <c r="A15" s="1" t="s">
        <v>168</v>
      </c>
      <c r="B15" t="s">
        <v>212</v>
      </c>
    </row>
    <row r="16" spans="1:2" x14ac:dyDescent="0.2">
      <c r="A16" s="1" t="s">
        <v>210</v>
      </c>
      <c r="B16" s="9" t="s">
        <v>211</v>
      </c>
    </row>
    <row r="17" spans="1:2" x14ac:dyDescent="0.2">
      <c r="A17" s="1" t="s">
        <v>169</v>
      </c>
      <c r="B17" s="9" t="s">
        <v>538</v>
      </c>
    </row>
    <row r="19" spans="1:2" x14ac:dyDescent="0.2">
      <c r="A19" s="1" t="s">
        <v>172</v>
      </c>
      <c r="B19" t="s">
        <v>560</v>
      </c>
    </row>
    <row r="20" spans="1:2" x14ac:dyDescent="0.2">
      <c r="A20" s="1" t="s">
        <v>174</v>
      </c>
      <c r="B20" t="s">
        <v>175</v>
      </c>
    </row>
    <row r="22" spans="1:2" x14ac:dyDescent="0.2">
      <c r="A22" s="1" t="s">
        <v>177</v>
      </c>
    </row>
    <row r="23" spans="1:2" s="10" customFormat="1" x14ac:dyDescent="0.2">
      <c r="A23" s="11" t="s">
        <v>60</v>
      </c>
    </row>
    <row r="24" spans="1:2" x14ac:dyDescent="0.2">
      <c r="A24" t="s">
        <v>61</v>
      </c>
      <c r="B24" t="s">
        <v>178</v>
      </c>
    </row>
    <row r="25" spans="1:2" x14ac:dyDescent="0.2">
      <c r="A25" t="s">
        <v>82</v>
      </c>
      <c r="B25" t="s">
        <v>179</v>
      </c>
    </row>
    <row r="26" spans="1:2" x14ac:dyDescent="0.2">
      <c r="A26" t="s">
        <v>137</v>
      </c>
      <c r="B26" t="s">
        <v>180</v>
      </c>
    </row>
    <row r="27" spans="1:2" x14ac:dyDescent="0.2">
      <c r="A27" t="s">
        <v>59</v>
      </c>
      <c r="B27" t="s">
        <v>181</v>
      </c>
    </row>
    <row r="28" spans="1:2" x14ac:dyDescent="0.2">
      <c r="A28" t="s">
        <v>127</v>
      </c>
      <c r="B28" t="s">
        <v>182</v>
      </c>
    </row>
    <row r="29" spans="1:2" x14ac:dyDescent="0.2">
      <c r="A29" t="s">
        <v>3</v>
      </c>
      <c r="B29" t="s">
        <v>183</v>
      </c>
    </row>
    <row r="30" spans="1:2" x14ac:dyDescent="0.2">
      <c r="A30" t="s">
        <v>473</v>
      </c>
      <c r="B30" t="s">
        <v>479</v>
      </c>
    </row>
    <row r="31" spans="1:2" x14ac:dyDescent="0.2">
      <c r="A31" t="s">
        <v>475</v>
      </c>
      <c r="B31" t="s">
        <v>480</v>
      </c>
    </row>
    <row r="32" spans="1:2" x14ac:dyDescent="0.2">
      <c r="A32" t="s">
        <v>487</v>
      </c>
      <c r="B32" t="s">
        <v>488</v>
      </c>
    </row>
    <row r="34" spans="1:2" x14ac:dyDescent="0.2">
      <c r="A34" s="11" t="s">
        <v>209</v>
      </c>
    </row>
    <row r="35" spans="1:2" x14ac:dyDescent="0.2">
      <c r="A35" t="s">
        <v>135</v>
      </c>
      <c r="B35" t="s">
        <v>184</v>
      </c>
    </row>
    <row r="36" spans="1:2" x14ac:dyDescent="0.2">
      <c r="A36" t="s">
        <v>481</v>
      </c>
      <c r="B36" t="s">
        <v>185</v>
      </c>
    </row>
    <row r="37" spans="1:2" x14ac:dyDescent="0.2">
      <c r="A37" t="s">
        <v>132</v>
      </c>
      <c r="B37" t="s">
        <v>187</v>
      </c>
    </row>
    <row r="38" spans="1:2" x14ac:dyDescent="0.2">
      <c r="A38" t="s">
        <v>134</v>
      </c>
      <c r="B38" t="s">
        <v>186</v>
      </c>
    </row>
    <row r="39" spans="1:2" x14ac:dyDescent="0.2">
      <c r="A39" t="s">
        <v>139</v>
      </c>
      <c r="B39" t="s">
        <v>188</v>
      </c>
    </row>
    <row r="40" spans="1:2" x14ac:dyDescent="0.2">
      <c r="A40" t="s">
        <v>189</v>
      </c>
      <c r="B40" t="s">
        <v>190</v>
      </c>
    </row>
    <row r="41" spans="1:2" x14ac:dyDescent="0.2">
      <c r="A41" t="s">
        <v>138</v>
      </c>
      <c r="B41" t="s">
        <v>191</v>
      </c>
    </row>
    <row r="42" spans="1:2" x14ac:dyDescent="0.2">
      <c r="A42" t="s">
        <v>128</v>
      </c>
      <c r="B42" t="s">
        <v>192</v>
      </c>
    </row>
    <row r="43" spans="1:2" x14ac:dyDescent="0.2">
      <c r="A43" t="s">
        <v>133</v>
      </c>
      <c r="B43" t="s">
        <v>193</v>
      </c>
    </row>
    <row r="44" spans="1:2" x14ac:dyDescent="0.2">
      <c r="A44" t="s">
        <v>126</v>
      </c>
      <c r="B44" t="s">
        <v>194</v>
      </c>
    </row>
    <row r="45" spans="1:2" x14ac:dyDescent="0.2">
      <c r="A45" t="s">
        <v>474</v>
      </c>
      <c r="B45" t="s">
        <v>482</v>
      </c>
    </row>
    <row r="46" spans="1:2" x14ac:dyDescent="0.2">
      <c r="A46" s="17" t="s">
        <v>486</v>
      </c>
      <c r="B46" t="s">
        <v>489</v>
      </c>
    </row>
    <row r="48" spans="1:2" x14ac:dyDescent="0.2">
      <c r="A48" s="22" t="s">
        <v>62</v>
      </c>
    </row>
    <row r="49" spans="1:2" x14ac:dyDescent="0.2">
      <c r="A49" t="s">
        <v>45</v>
      </c>
      <c r="B49" t="s">
        <v>195</v>
      </c>
    </row>
    <row r="50" spans="1:2" x14ac:dyDescent="0.2">
      <c r="A50" t="s">
        <v>33</v>
      </c>
      <c r="B50" t="s">
        <v>196</v>
      </c>
    </row>
    <row r="51" spans="1:2" x14ac:dyDescent="0.2">
      <c r="A51" t="s">
        <v>49</v>
      </c>
      <c r="B51" t="s">
        <v>197</v>
      </c>
    </row>
    <row r="52" spans="1:2" x14ac:dyDescent="0.2">
      <c r="A52" t="s">
        <v>55</v>
      </c>
      <c r="B52" t="s">
        <v>198</v>
      </c>
    </row>
    <row r="53" spans="1:2" x14ac:dyDescent="0.2">
      <c r="A53" t="s">
        <v>199</v>
      </c>
      <c r="B53" t="s">
        <v>185</v>
      </c>
    </row>
    <row r="54" spans="1:2" x14ac:dyDescent="0.2">
      <c r="A54" t="s">
        <v>150</v>
      </c>
      <c r="B54" t="s">
        <v>200</v>
      </c>
    </row>
    <row r="55" spans="1:2" x14ac:dyDescent="0.2">
      <c r="A55" t="s">
        <v>151</v>
      </c>
      <c r="B55" t="s">
        <v>201</v>
      </c>
    </row>
    <row r="56" spans="1:2" x14ac:dyDescent="0.2">
      <c r="A56" t="s">
        <v>202</v>
      </c>
      <c r="B56" t="s">
        <v>206</v>
      </c>
    </row>
    <row r="57" spans="1:2" x14ac:dyDescent="0.2">
      <c r="A57" t="s">
        <v>204</v>
      </c>
      <c r="B57" t="s">
        <v>185</v>
      </c>
    </row>
    <row r="58" spans="1:2" x14ac:dyDescent="0.2">
      <c r="A58" t="s">
        <v>205</v>
      </c>
      <c r="B58" t="s">
        <v>207</v>
      </c>
    </row>
    <row r="59" spans="1:2" x14ac:dyDescent="0.2">
      <c r="A59" t="s">
        <v>203</v>
      </c>
      <c r="B59" t="s">
        <v>208</v>
      </c>
    </row>
  </sheetData>
  <hyperlinks>
    <hyperlink ref="B17" r:id="rId1" xr:uid="{282A8973-3AAE-6644-A939-5B53F9396F4D}"/>
    <hyperlink ref="B16" r:id="rId2" xr:uid="{221356D7-E185-2D44-9168-A165690EDE33}"/>
    <hyperlink ref="B14" r:id="rId3" xr:uid="{E009F949-DCE8-0940-9180-0C9A837031C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75198-68A0-7E49-948F-B51916C0E7CD}">
  <sheetPr codeName="Sheet2"/>
  <dimension ref="A1:P170"/>
  <sheetViews>
    <sheetView topLeftCell="A135" zoomScale="110" zoomScaleNormal="110" workbookViewId="0">
      <selection activeCell="F150" sqref="F150"/>
    </sheetView>
  </sheetViews>
  <sheetFormatPr baseColWidth="10" defaultRowHeight="16" x14ac:dyDescent="0.2"/>
  <cols>
    <col min="1" max="1" width="12.33203125" bestFit="1" customWidth="1"/>
    <col min="2" max="2" width="13.1640625" bestFit="1" customWidth="1"/>
    <col min="3" max="3" width="17" bestFit="1" customWidth="1"/>
    <col min="4" max="4" width="15.6640625" style="24" bestFit="1" customWidth="1"/>
    <col min="5" max="5" width="14.6640625" style="24" bestFit="1" customWidth="1"/>
    <col min="6" max="6" width="182" bestFit="1" customWidth="1"/>
    <col min="7" max="7" width="54.6640625" bestFit="1" customWidth="1"/>
    <col min="8" max="8" width="38.33203125" bestFit="1" customWidth="1"/>
    <col min="9" max="9" width="20.33203125" bestFit="1" customWidth="1"/>
    <col min="10" max="10" width="47.83203125" bestFit="1" customWidth="1"/>
    <col min="11" max="11" width="30.5" bestFit="1" customWidth="1"/>
    <col min="12" max="12" width="63.1640625" bestFit="1" customWidth="1"/>
    <col min="13" max="13" width="38.33203125" bestFit="1" customWidth="1"/>
    <col min="14" max="14" width="23.1640625" bestFit="1" customWidth="1"/>
    <col min="15" max="15" width="12.6640625" bestFit="1" customWidth="1"/>
    <col min="16" max="16" width="157" bestFit="1" customWidth="1"/>
  </cols>
  <sheetData>
    <row r="1" spans="1:16" s="1" customFormat="1" x14ac:dyDescent="0.2">
      <c r="A1" s="1" t="s">
        <v>83</v>
      </c>
      <c r="B1" s="1" t="s">
        <v>84</v>
      </c>
      <c r="C1" s="1" t="s">
        <v>85</v>
      </c>
      <c r="D1" s="23" t="s">
        <v>86</v>
      </c>
      <c r="E1" s="23" t="s">
        <v>87</v>
      </c>
      <c r="F1" s="1" t="s">
        <v>0</v>
      </c>
      <c r="G1" s="1" t="s">
        <v>1</v>
      </c>
      <c r="H1" s="1" t="s">
        <v>2</v>
      </c>
      <c r="I1" s="1" t="s">
        <v>16</v>
      </c>
      <c r="J1" s="1" t="s">
        <v>123</v>
      </c>
      <c r="K1" s="1" t="s">
        <v>124</v>
      </c>
      <c r="L1" s="1" t="s">
        <v>26</v>
      </c>
      <c r="M1" s="1" t="s">
        <v>27</v>
      </c>
      <c r="N1" s="1" t="s">
        <v>335</v>
      </c>
      <c r="O1" s="1" t="s">
        <v>14</v>
      </c>
      <c r="P1" s="1" t="s">
        <v>13</v>
      </c>
    </row>
    <row r="2" spans="1:16" x14ac:dyDescent="0.2">
      <c r="A2">
        <v>2022</v>
      </c>
      <c r="B2" t="s">
        <v>40</v>
      </c>
      <c r="C2" t="s">
        <v>24</v>
      </c>
      <c r="D2" s="24">
        <v>44562</v>
      </c>
      <c r="E2" s="24">
        <v>44926</v>
      </c>
      <c r="F2" s="3" t="s">
        <v>90</v>
      </c>
      <c r="G2" t="s">
        <v>89</v>
      </c>
      <c r="H2" t="s">
        <v>487</v>
      </c>
      <c r="I2" t="s">
        <v>23</v>
      </c>
      <c r="J2" t="s">
        <v>486</v>
      </c>
      <c r="K2" t="s">
        <v>23</v>
      </c>
      <c r="L2" t="s">
        <v>150</v>
      </c>
      <c r="M2" t="s">
        <v>23</v>
      </c>
      <c r="O2" t="s">
        <v>25</v>
      </c>
      <c r="P2" t="s">
        <v>91</v>
      </c>
    </row>
    <row r="3" spans="1:16" x14ac:dyDescent="0.2">
      <c r="A3">
        <v>2022</v>
      </c>
      <c r="B3" t="s">
        <v>63</v>
      </c>
      <c r="C3" t="s">
        <v>24</v>
      </c>
      <c r="D3" s="24">
        <v>44621</v>
      </c>
      <c r="E3" s="24">
        <v>44803</v>
      </c>
      <c r="F3" s="3" t="s">
        <v>400</v>
      </c>
      <c r="G3" t="s">
        <v>401</v>
      </c>
      <c r="H3" t="s">
        <v>137</v>
      </c>
      <c r="I3" t="s">
        <v>23</v>
      </c>
      <c r="J3" t="s">
        <v>133</v>
      </c>
      <c r="K3" t="s">
        <v>23</v>
      </c>
      <c r="L3" t="s">
        <v>350</v>
      </c>
      <c r="M3" t="s">
        <v>23</v>
      </c>
      <c r="N3" t="s">
        <v>24</v>
      </c>
      <c r="O3" t="s">
        <v>25</v>
      </c>
      <c r="P3" t="s">
        <v>402</v>
      </c>
    </row>
    <row r="4" spans="1:16" x14ac:dyDescent="0.2">
      <c r="A4">
        <v>2022</v>
      </c>
      <c r="B4" t="s">
        <v>41</v>
      </c>
      <c r="C4" t="s">
        <v>25</v>
      </c>
      <c r="D4" s="24" t="s">
        <v>29</v>
      </c>
      <c r="E4" s="24" t="s">
        <v>29</v>
      </c>
      <c r="F4" s="3" t="s">
        <v>81</v>
      </c>
      <c r="G4" t="s">
        <v>77</v>
      </c>
      <c r="H4" t="s">
        <v>82</v>
      </c>
      <c r="I4" t="s">
        <v>23</v>
      </c>
      <c r="J4" t="s">
        <v>126</v>
      </c>
      <c r="K4" t="s">
        <v>23</v>
      </c>
      <c r="L4" t="s">
        <v>151</v>
      </c>
      <c r="M4" t="s">
        <v>23</v>
      </c>
      <c r="O4" t="s">
        <v>25</v>
      </c>
    </row>
    <row r="5" spans="1:16" x14ac:dyDescent="0.2">
      <c r="A5">
        <v>2022</v>
      </c>
      <c r="B5" t="s">
        <v>41</v>
      </c>
      <c r="C5" t="s">
        <v>25</v>
      </c>
      <c r="D5" s="24" t="s">
        <v>29</v>
      </c>
      <c r="E5" s="24" t="s">
        <v>29</v>
      </c>
      <c r="F5" s="3" t="s">
        <v>390</v>
      </c>
      <c r="G5" t="s">
        <v>391</v>
      </c>
      <c r="H5" t="s">
        <v>137</v>
      </c>
      <c r="I5" t="s">
        <v>23</v>
      </c>
      <c r="J5" t="s">
        <v>133</v>
      </c>
      <c r="K5" t="s">
        <v>23</v>
      </c>
      <c r="L5" t="s">
        <v>350</v>
      </c>
      <c r="M5" t="s">
        <v>23</v>
      </c>
      <c r="N5" t="s">
        <v>15</v>
      </c>
      <c r="O5" t="s">
        <v>25</v>
      </c>
    </row>
    <row r="6" spans="1:16" x14ac:dyDescent="0.2">
      <c r="A6">
        <v>2022</v>
      </c>
      <c r="B6" t="s">
        <v>42</v>
      </c>
      <c r="C6" t="s">
        <v>25</v>
      </c>
      <c r="D6" s="24" t="s">
        <v>29</v>
      </c>
      <c r="E6" s="24" t="s">
        <v>29</v>
      </c>
      <c r="F6" s="3" t="s">
        <v>71</v>
      </c>
      <c r="G6" t="s">
        <v>72</v>
      </c>
      <c r="H6" t="s">
        <v>487</v>
      </c>
      <c r="I6" t="s">
        <v>23</v>
      </c>
      <c r="J6" t="s">
        <v>486</v>
      </c>
      <c r="K6" t="s">
        <v>23</v>
      </c>
      <c r="L6" t="s">
        <v>151</v>
      </c>
      <c r="M6" t="s">
        <v>23</v>
      </c>
      <c r="O6" t="s">
        <v>25</v>
      </c>
    </row>
    <row r="7" spans="1:16" x14ac:dyDescent="0.2">
      <c r="A7">
        <v>2022</v>
      </c>
      <c r="B7" t="s">
        <v>42</v>
      </c>
      <c r="C7" t="s">
        <v>24</v>
      </c>
      <c r="D7" s="24">
        <v>44682</v>
      </c>
      <c r="E7" s="24">
        <v>44926</v>
      </c>
      <c r="F7" s="3" t="s">
        <v>328</v>
      </c>
      <c r="G7" t="s">
        <v>329</v>
      </c>
      <c r="H7" t="s">
        <v>137</v>
      </c>
      <c r="I7" t="s">
        <v>23</v>
      </c>
      <c r="J7" t="s">
        <v>138</v>
      </c>
      <c r="K7" t="s">
        <v>23</v>
      </c>
      <c r="L7" t="s">
        <v>267</v>
      </c>
      <c r="M7" t="s">
        <v>23</v>
      </c>
      <c r="O7" t="s">
        <v>25</v>
      </c>
      <c r="P7" t="s">
        <v>330</v>
      </c>
    </row>
    <row r="8" spans="1:16" x14ac:dyDescent="0.2">
      <c r="A8">
        <v>2022</v>
      </c>
      <c r="B8" t="s">
        <v>64</v>
      </c>
      <c r="C8" t="s">
        <v>24</v>
      </c>
      <c r="D8" s="24">
        <v>44713</v>
      </c>
      <c r="E8" s="24">
        <v>44926</v>
      </c>
      <c r="F8" s="3" t="s">
        <v>392</v>
      </c>
      <c r="G8" t="s">
        <v>35</v>
      </c>
      <c r="H8" t="s">
        <v>137</v>
      </c>
      <c r="I8" t="s">
        <v>23</v>
      </c>
      <c r="J8" t="s">
        <v>133</v>
      </c>
      <c r="K8" t="s">
        <v>23</v>
      </c>
      <c r="L8" t="s">
        <v>350</v>
      </c>
      <c r="M8" t="s">
        <v>23</v>
      </c>
      <c r="N8" t="s">
        <v>25</v>
      </c>
      <c r="O8" t="s">
        <v>25</v>
      </c>
    </row>
    <row r="9" spans="1:16" x14ac:dyDescent="0.2">
      <c r="A9">
        <v>2022</v>
      </c>
      <c r="B9" t="s">
        <v>46</v>
      </c>
      <c r="C9" t="s">
        <v>25</v>
      </c>
      <c r="D9" s="24" t="s">
        <v>29</v>
      </c>
      <c r="E9" s="24" t="s">
        <v>29</v>
      </c>
      <c r="F9" s="3" t="s">
        <v>110</v>
      </c>
      <c r="G9" t="s">
        <v>109</v>
      </c>
      <c r="H9" t="s">
        <v>61</v>
      </c>
      <c r="I9" t="s">
        <v>23</v>
      </c>
      <c r="J9" t="s">
        <v>133</v>
      </c>
      <c r="K9" t="s">
        <v>23</v>
      </c>
      <c r="L9" t="s">
        <v>151</v>
      </c>
      <c r="M9" t="s">
        <v>23</v>
      </c>
      <c r="O9" t="s">
        <v>25</v>
      </c>
    </row>
    <row r="10" spans="1:16" x14ac:dyDescent="0.2">
      <c r="A10">
        <v>2022</v>
      </c>
      <c r="B10" t="s">
        <v>37</v>
      </c>
      <c r="C10" t="s">
        <v>24</v>
      </c>
      <c r="D10" s="24">
        <v>44805</v>
      </c>
      <c r="E10" s="24">
        <v>44926</v>
      </c>
      <c r="F10" s="3" t="s">
        <v>113</v>
      </c>
      <c r="G10" t="s">
        <v>35</v>
      </c>
      <c r="H10" t="s">
        <v>137</v>
      </c>
      <c r="I10" t="s">
        <v>23</v>
      </c>
      <c r="J10" t="s">
        <v>133</v>
      </c>
      <c r="K10" t="s">
        <v>138</v>
      </c>
      <c r="L10" t="s">
        <v>202</v>
      </c>
      <c r="M10" t="s">
        <v>23</v>
      </c>
      <c r="O10" t="s">
        <v>25</v>
      </c>
    </row>
    <row r="11" spans="1:16" x14ac:dyDescent="0.2">
      <c r="A11">
        <v>2022</v>
      </c>
      <c r="B11" t="s">
        <v>37</v>
      </c>
      <c r="C11" t="s">
        <v>24</v>
      </c>
      <c r="D11" s="24">
        <v>44805</v>
      </c>
      <c r="E11" s="24">
        <v>44865</v>
      </c>
      <c r="F11" s="3" t="s">
        <v>115</v>
      </c>
      <c r="G11" t="s">
        <v>116</v>
      </c>
      <c r="H11" t="s">
        <v>487</v>
      </c>
      <c r="I11" t="s">
        <v>473</v>
      </c>
      <c r="J11" t="s">
        <v>486</v>
      </c>
      <c r="K11" t="s">
        <v>134</v>
      </c>
      <c r="L11" t="s">
        <v>150</v>
      </c>
      <c r="M11" t="s">
        <v>49</v>
      </c>
      <c r="O11" t="s">
        <v>25</v>
      </c>
    </row>
    <row r="12" spans="1:16" x14ac:dyDescent="0.2">
      <c r="A12">
        <v>2022</v>
      </c>
      <c r="B12" t="s">
        <v>39</v>
      </c>
      <c r="C12" t="s">
        <v>24</v>
      </c>
      <c r="D12" s="24">
        <v>44835</v>
      </c>
      <c r="E12" s="24">
        <v>44926</v>
      </c>
      <c r="F12" s="3" t="s">
        <v>405</v>
      </c>
      <c r="G12" t="s">
        <v>404</v>
      </c>
      <c r="H12" t="s">
        <v>487</v>
      </c>
      <c r="I12" t="s">
        <v>23</v>
      </c>
      <c r="J12" t="s">
        <v>486</v>
      </c>
      <c r="K12" t="s">
        <v>23</v>
      </c>
      <c r="L12" t="s">
        <v>151</v>
      </c>
      <c r="M12" t="s">
        <v>23</v>
      </c>
      <c r="N12" t="s">
        <v>24</v>
      </c>
      <c r="O12" t="s">
        <v>25</v>
      </c>
      <c r="P12" t="s">
        <v>490</v>
      </c>
    </row>
    <row r="13" spans="1:16" x14ac:dyDescent="0.2">
      <c r="A13">
        <v>2022</v>
      </c>
      <c r="B13" t="s">
        <v>38</v>
      </c>
      <c r="C13" t="s">
        <v>24</v>
      </c>
      <c r="D13" s="24">
        <v>44866</v>
      </c>
      <c r="E13" s="24">
        <v>44926</v>
      </c>
      <c r="F13" s="3" t="s">
        <v>346</v>
      </c>
      <c r="G13" t="s">
        <v>58</v>
      </c>
      <c r="H13" t="s">
        <v>3</v>
      </c>
      <c r="I13" t="s">
        <v>23</v>
      </c>
      <c r="J13" t="s">
        <v>133</v>
      </c>
      <c r="K13" t="s">
        <v>23</v>
      </c>
      <c r="L13" t="s">
        <v>342</v>
      </c>
      <c r="M13" t="s">
        <v>151</v>
      </c>
      <c r="N13" t="s">
        <v>25</v>
      </c>
      <c r="O13" t="s">
        <v>25</v>
      </c>
      <c r="P13" t="s">
        <v>352</v>
      </c>
    </row>
    <row r="14" spans="1:16" x14ac:dyDescent="0.2">
      <c r="A14">
        <v>2022</v>
      </c>
      <c r="B14" t="s">
        <v>92</v>
      </c>
      <c r="C14" t="s">
        <v>25</v>
      </c>
      <c r="D14" s="24" t="s">
        <v>29</v>
      </c>
      <c r="E14" s="24" t="s">
        <v>29</v>
      </c>
      <c r="F14" s="3" t="s">
        <v>384</v>
      </c>
      <c r="G14" t="s">
        <v>98</v>
      </c>
      <c r="H14" t="s">
        <v>137</v>
      </c>
      <c r="I14" t="s">
        <v>23</v>
      </c>
      <c r="J14" t="s">
        <v>133</v>
      </c>
      <c r="K14" t="s">
        <v>23</v>
      </c>
      <c r="L14" t="s">
        <v>350</v>
      </c>
      <c r="M14" t="s">
        <v>23</v>
      </c>
      <c r="N14" t="s">
        <v>15</v>
      </c>
      <c r="O14" t="s">
        <v>25</v>
      </c>
      <c r="P14" t="s">
        <v>385</v>
      </c>
    </row>
    <row r="15" spans="1:16" x14ac:dyDescent="0.2">
      <c r="A15">
        <v>2023</v>
      </c>
      <c r="B15" t="s">
        <v>40</v>
      </c>
      <c r="C15" t="s">
        <v>24</v>
      </c>
      <c r="D15" s="24">
        <v>44927</v>
      </c>
      <c r="E15" s="24">
        <v>45291</v>
      </c>
      <c r="F15" s="3" t="s">
        <v>113</v>
      </c>
      <c r="G15" t="s">
        <v>35</v>
      </c>
      <c r="H15" t="s">
        <v>137</v>
      </c>
      <c r="I15" t="s">
        <v>23</v>
      </c>
      <c r="J15" t="s">
        <v>133</v>
      </c>
      <c r="K15" t="s">
        <v>138</v>
      </c>
      <c r="L15" t="s">
        <v>202</v>
      </c>
      <c r="M15" t="s">
        <v>23</v>
      </c>
      <c r="O15" t="s">
        <v>25</v>
      </c>
    </row>
    <row r="16" spans="1:16" x14ac:dyDescent="0.2">
      <c r="A16">
        <v>2023</v>
      </c>
      <c r="B16" t="s">
        <v>40</v>
      </c>
      <c r="C16" t="s">
        <v>24</v>
      </c>
      <c r="D16" s="24">
        <v>44927</v>
      </c>
      <c r="E16" s="24">
        <v>45046</v>
      </c>
      <c r="F16" s="3" t="s">
        <v>388</v>
      </c>
      <c r="G16" t="s">
        <v>389</v>
      </c>
      <c r="H16" t="s">
        <v>137</v>
      </c>
      <c r="I16" t="s">
        <v>23</v>
      </c>
      <c r="J16" t="s">
        <v>133</v>
      </c>
      <c r="K16" t="s">
        <v>23</v>
      </c>
      <c r="L16" t="s">
        <v>350</v>
      </c>
      <c r="M16" t="s">
        <v>23</v>
      </c>
      <c r="N16" t="s">
        <v>15</v>
      </c>
      <c r="O16" t="s">
        <v>25</v>
      </c>
    </row>
    <row r="17" spans="1:16" x14ac:dyDescent="0.2">
      <c r="A17">
        <v>2023</v>
      </c>
      <c r="B17" t="s">
        <v>40</v>
      </c>
      <c r="C17" t="s">
        <v>24</v>
      </c>
      <c r="D17" s="24">
        <v>44927</v>
      </c>
      <c r="E17" s="24">
        <v>45291</v>
      </c>
      <c r="F17" s="3" t="s">
        <v>328</v>
      </c>
      <c r="G17" t="s">
        <v>329</v>
      </c>
      <c r="H17" t="s">
        <v>137</v>
      </c>
      <c r="I17" t="s">
        <v>23</v>
      </c>
      <c r="J17" t="s">
        <v>138</v>
      </c>
      <c r="K17" t="s">
        <v>23</v>
      </c>
      <c r="L17" t="s">
        <v>267</v>
      </c>
      <c r="M17" t="s">
        <v>23</v>
      </c>
      <c r="O17" t="s">
        <v>25</v>
      </c>
      <c r="P17" t="s">
        <v>330</v>
      </c>
    </row>
    <row r="18" spans="1:16" x14ac:dyDescent="0.2">
      <c r="A18">
        <v>2023</v>
      </c>
      <c r="B18" t="s">
        <v>40</v>
      </c>
      <c r="C18" t="s">
        <v>24</v>
      </c>
      <c r="D18" s="24">
        <v>44927</v>
      </c>
      <c r="E18" s="24">
        <v>45291</v>
      </c>
      <c r="F18" s="3" t="s">
        <v>90</v>
      </c>
      <c r="G18" t="s">
        <v>89</v>
      </c>
      <c r="H18" t="s">
        <v>487</v>
      </c>
      <c r="I18" t="s">
        <v>23</v>
      </c>
      <c r="J18" t="s">
        <v>486</v>
      </c>
      <c r="K18" t="s">
        <v>23</v>
      </c>
      <c r="L18" t="s">
        <v>150</v>
      </c>
      <c r="M18" t="s">
        <v>23</v>
      </c>
      <c r="O18" t="s">
        <v>25</v>
      </c>
      <c r="P18" t="s">
        <v>91</v>
      </c>
    </row>
    <row r="19" spans="1:16" x14ac:dyDescent="0.2">
      <c r="A19">
        <v>2023</v>
      </c>
      <c r="B19" t="s">
        <v>40</v>
      </c>
      <c r="C19" t="s">
        <v>24</v>
      </c>
      <c r="D19" s="24">
        <v>44927</v>
      </c>
      <c r="E19" s="24">
        <v>45291</v>
      </c>
      <c r="F19" s="14" t="s">
        <v>386</v>
      </c>
      <c r="G19" t="s">
        <v>317</v>
      </c>
      <c r="H19" t="s">
        <v>137</v>
      </c>
      <c r="I19" t="s">
        <v>23</v>
      </c>
      <c r="J19" t="s">
        <v>133</v>
      </c>
      <c r="K19" t="s">
        <v>23</v>
      </c>
      <c r="L19" t="s">
        <v>350</v>
      </c>
      <c r="M19" t="s">
        <v>23</v>
      </c>
      <c r="N19" t="s">
        <v>25</v>
      </c>
      <c r="O19" t="s">
        <v>25</v>
      </c>
      <c r="P19" t="s">
        <v>387</v>
      </c>
    </row>
    <row r="20" spans="1:16" x14ac:dyDescent="0.2">
      <c r="A20">
        <v>2023</v>
      </c>
      <c r="B20" t="s">
        <v>40</v>
      </c>
      <c r="C20" t="s">
        <v>24</v>
      </c>
      <c r="D20" s="24">
        <v>44927</v>
      </c>
      <c r="E20" s="24">
        <v>45291</v>
      </c>
      <c r="F20" s="3" t="s">
        <v>392</v>
      </c>
      <c r="G20" t="s">
        <v>35</v>
      </c>
      <c r="H20" t="s">
        <v>137</v>
      </c>
      <c r="I20" t="s">
        <v>23</v>
      </c>
      <c r="J20" t="s">
        <v>133</v>
      </c>
      <c r="K20" t="s">
        <v>23</v>
      </c>
      <c r="L20" t="s">
        <v>350</v>
      </c>
      <c r="M20" t="s">
        <v>23</v>
      </c>
      <c r="N20" t="s">
        <v>25</v>
      </c>
      <c r="O20" t="s">
        <v>25</v>
      </c>
    </row>
    <row r="21" spans="1:16" x14ac:dyDescent="0.2">
      <c r="A21">
        <v>2023</v>
      </c>
      <c r="B21" t="s">
        <v>40</v>
      </c>
      <c r="C21" t="s">
        <v>25</v>
      </c>
      <c r="D21" s="24" t="s">
        <v>29</v>
      </c>
      <c r="E21" s="24" t="s">
        <v>29</v>
      </c>
      <c r="F21" s="3" t="s">
        <v>44</v>
      </c>
      <c r="G21" t="s">
        <v>35</v>
      </c>
      <c r="H21" t="s">
        <v>129</v>
      </c>
      <c r="I21" t="s">
        <v>23</v>
      </c>
      <c r="J21" t="s">
        <v>132</v>
      </c>
      <c r="K21" t="s">
        <v>23</v>
      </c>
      <c r="L21" t="s">
        <v>151</v>
      </c>
      <c r="M21" t="s">
        <v>23</v>
      </c>
      <c r="O21" t="s">
        <v>25</v>
      </c>
      <c r="P21" t="s">
        <v>562</v>
      </c>
    </row>
    <row r="22" spans="1:16" x14ac:dyDescent="0.2">
      <c r="A22">
        <v>2023</v>
      </c>
      <c r="B22" t="s">
        <v>40</v>
      </c>
      <c r="C22" t="s">
        <v>24</v>
      </c>
      <c r="D22" s="24">
        <v>44927</v>
      </c>
      <c r="E22" s="24">
        <v>45016</v>
      </c>
      <c r="F22" s="3" t="s">
        <v>112</v>
      </c>
      <c r="G22" t="s">
        <v>43</v>
      </c>
      <c r="H22" t="s">
        <v>129</v>
      </c>
      <c r="I22" t="s">
        <v>23</v>
      </c>
      <c r="J22" t="s">
        <v>133</v>
      </c>
      <c r="K22" t="s">
        <v>23</v>
      </c>
      <c r="L22" t="s">
        <v>55</v>
      </c>
      <c r="M22" t="s">
        <v>23</v>
      </c>
      <c r="O22" t="s">
        <v>25</v>
      </c>
      <c r="P22" t="s">
        <v>565</v>
      </c>
    </row>
    <row r="23" spans="1:16" x14ac:dyDescent="0.2">
      <c r="A23">
        <v>2023</v>
      </c>
      <c r="B23" t="s">
        <v>63</v>
      </c>
      <c r="C23" t="s">
        <v>25</v>
      </c>
      <c r="D23" s="24" t="s">
        <v>29</v>
      </c>
      <c r="E23" s="24" t="s">
        <v>29</v>
      </c>
      <c r="F23" s="3" t="s">
        <v>111</v>
      </c>
      <c r="G23" t="s">
        <v>109</v>
      </c>
      <c r="H23" t="s">
        <v>61</v>
      </c>
      <c r="I23" t="s">
        <v>23</v>
      </c>
      <c r="J23" t="s">
        <v>133</v>
      </c>
      <c r="K23" t="s">
        <v>23</v>
      </c>
      <c r="L23" t="s">
        <v>151</v>
      </c>
      <c r="M23" t="s">
        <v>23</v>
      </c>
      <c r="O23" t="s">
        <v>25</v>
      </c>
    </row>
    <row r="24" spans="1:16" x14ac:dyDescent="0.2">
      <c r="A24">
        <v>2023</v>
      </c>
      <c r="B24" t="s">
        <v>63</v>
      </c>
      <c r="C24" t="s">
        <v>24</v>
      </c>
      <c r="D24" s="24">
        <v>44986</v>
      </c>
      <c r="E24" s="24">
        <v>45291</v>
      </c>
      <c r="F24" s="3" t="s">
        <v>102</v>
      </c>
      <c r="G24" s="3" t="s">
        <v>103</v>
      </c>
      <c r="H24" t="s">
        <v>137</v>
      </c>
      <c r="I24" t="s">
        <v>23</v>
      </c>
      <c r="J24" t="s">
        <v>138</v>
      </c>
      <c r="K24" t="s">
        <v>133</v>
      </c>
      <c r="L24" t="s">
        <v>202</v>
      </c>
      <c r="M24" t="s">
        <v>23</v>
      </c>
      <c r="O24" t="s">
        <v>25</v>
      </c>
      <c r="P24" t="s">
        <v>564</v>
      </c>
    </row>
    <row r="25" spans="1:16" x14ac:dyDescent="0.2">
      <c r="A25">
        <v>2023</v>
      </c>
      <c r="B25" t="s">
        <v>42</v>
      </c>
      <c r="C25" t="s">
        <v>25</v>
      </c>
      <c r="D25" s="24" t="s">
        <v>29</v>
      </c>
      <c r="E25" s="24" t="s">
        <v>29</v>
      </c>
      <c r="F25" s="3" t="s">
        <v>407</v>
      </c>
      <c r="G25" t="s">
        <v>77</v>
      </c>
      <c r="H25" t="s">
        <v>82</v>
      </c>
      <c r="I25" t="s">
        <v>23</v>
      </c>
      <c r="J25" t="s">
        <v>126</v>
      </c>
      <c r="K25" t="s">
        <v>23</v>
      </c>
      <c r="L25" t="s">
        <v>143</v>
      </c>
      <c r="M25" t="s">
        <v>23</v>
      </c>
      <c r="N25" t="s">
        <v>24</v>
      </c>
    </row>
    <row r="26" spans="1:16" x14ac:dyDescent="0.2">
      <c r="A26">
        <v>2023</v>
      </c>
      <c r="B26" t="s">
        <v>64</v>
      </c>
      <c r="C26" t="s">
        <v>24</v>
      </c>
      <c r="D26" s="24">
        <v>45078</v>
      </c>
      <c r="E26" s="24">
        <v>45291</v>
      </c>
      <c r="F26" s="3" t="s">
        <v>268</v>
      </c>
      <c r="G26" t="s">
        <v>264</v>
      </c>
      <c r="H26" t="s">
        <v>137</v>
      </c>
      <c r="I26" t="s">
        <v>23</v>
      </c>
      <c r="J26" t="s">
        <v>138</v>
      </c>
      <c r="K26" t="s">
        <v>23</v>
      </c>
      <c r="L26" t="s">
        <v>267</v>
      </c>
      <c r="M26" t="s">
        <v>23</v>
      </c>
      <c r="O26" t="s">
        <v>25</v>
      </c>
    </row>
    <row r="27" spans="1:16" x14ac:dyDescent="0.2">
      <c r="A27">
        <v>2023</v>
      </c>
      <c r="B27" t="s">
        <v>46</v>
      </c>
      <c r="C27" t="s">
        <v>25</v>
      </c>
      <c r="D27" s="24" t="s">
        <v>29</v>
      </c>
      <c r="E27" s="24" t="s">
        <v>29</v>
      </c>
      <c r="F27" s="3" t="s">
        <v>293</v>
      </c>
      <c r="G27" t="s">
        <v>68</v>
      </c>
      <c r="H27" t="s">
        <v>137</v>
      </c>
      <c r="I27" t="s">
        <v>23</v>
      </c>
      <c r="J27" t="s">
        <v>138</v>
      </c>
      <c r="K27" t="s">
        <v>23</v>
      </c>
      <c r="L27" t="s">
        <v>267</v>
      </c>
      <c r="M27" t="s">
        <v>23</v>
      </c>
      <c r="O27" t="s">
        <v>25</v>
      </c>
    </row>
    <row r="28" spans="1:16" x14ac:dyDescent="0.2">
      <c r="A28">
        <v>2023</v>
      </c>
      <c r="B28" t="s">
        <v>53</v>
      </c>
      <c r="C28" t="s">
        <v>24</v>
      </c>
      <c r="D28" s="24">
        <v>45139</v>
      </c>
      <c r="E28" s="24">
        <v>45291</v>
      </c>
      <c r="F28" s="3" t="s">
        <v>122</v>
      </c>
      <c r="G28" t="s">
        <v>121</v>
      </c>
      <c r="H28" t="s">
        <v>473</v>
      </c>
      <c r="I28" t="s">
        <v>23</v>
      </c>
      <c r="J28" t="s">
        <v>134</v>
      </c>
      <c r="K28" t="s">
        <v>23</v>
      </c>
      <c r="L28" t="s">
        <v>49</v>
      </c>
      <c r="M28" t="s">
        <v>23</v>
      </c>
      <c r="O28" t="s">
        <v>25</v>
      </c>
    </row>
    <row r="29" spans="1:16" x14ac:dyDescent="0.2">
      <c r="A29">
        <v>2023</v>
      </c>
      <c r="B29" t="s">
        <v>53</v>
      </c>
      <c r="C29" t="s">
        <v>24</v>
      </c>
      <c r="D29" s="24">
        <v>45139</v>
      </c>
      <c r="E29" s="24">
        <v>45199</v>
      </c>
      <c r="F29" s="3" t="s">
        <v>568</v>
      </c>
      <c r="G29" t="s">
        <v>72</v>
      </c>
      <c r="H29" t="s">
        <v>127</v>
      </c>
      <c r="I29" t="s">
        <v>23</v>
      </c>
      <c r="J29" t="s">
        <v>126</v>
      </c>
      <c r="K29" t="s">
        <v>23</v>
      </c>
      <c r="L29" t="s">
        <v>33</v>
      </c>
      <c r="M29" t="s">
        <v>23</v>
      </c>
      <c r="O29" t="s">
        <v>25</v>
      </c>
    </row>
    <row r="30" spans="1:16" x14ac:dyDescent="0.2">
      <c r="A30">
        <v>2023</v>
      </c>
      <c r="B30" t="s">
        <v>37</v>
      </c>
      <c r="C30" t="s">
        <v>24</v>
      </c>
      <c r="D30" s="24">
        <v>45170</v>
      </c>
      <c r="E30" s="24">
        <v>45291</v>
      </c>
      <c r="F30" s="3" t="s">
        <v>101</v>
      </c>
      <c r="G30" t="s">
        <v>98</v>
      </c>
      <c r="H30" t="s">
        <v>137</v>
      </c>
      <c r="I30" t="s">
        <v>23</v>
      </c>
      <c r="J30" t="s">
        <v>138</v>
      </c>
      <c r="K30" t="s">
        <v>133</v>
      </c>
      <c r="L30" t="s">
        <v>202</v>
      </c>
      <c r="M30" t="s">
        <v>23</v>
      </c>
      <c r="O30" t="s">
        <v>25</v>
      </c>
    </row>
    <row r="31" spans="1:16" x14ac:dyDescent="0.2">
      <c r="A31">
        <v>2023</v>
      </c>
      <c r="B31" t="s">
        <v>39</v>
      </c>
      <c r="C31" t="s">
        <v>25</v>
      </c>
      <c r="D31" s="24" t="s">
        <v>29</v>
      </c>
      <c r="E31" s="24" t="s">
        <v>29</v>
      </c>
      <c r="F31" s="8" t="s">
        <v>224</v>
      </c>
      <c r="G31" t="s">
        <v>12</v>
      </c>
      <c r="H31" t="s">
        <v>61</v>
      </c>
      <c r="I31" t="s">
        <v>23</v>
      </c>
      <c r="J31" t="s">
        <v>146</v>
      </c>
      <c r="K31" t="s">
        <v>23</v>
      </c>
      <c r="L31" t="s">
        <v>150</v>
      </c>
      <c r="M31" t="s">
        <v>23</v>
      </c>
      <c r="O31" t="s">
        <v>25</v>
      </c>
    </row>
    <row r="32" spans="1:16" x14ac:dyDescent="0.2">
      <c r="A32">
        <v>2023</v>
      </c>
      <c r="B32" t="s">
        <v>39</v>
      </c>
      <c r="C32" t="s">
        <v>24</v>
      </c>
      <c r="D32" s="24">
        <v>45200</v>
      </c>
      <c r="E32" s="24">
        <v>45291</v>
      </c>
      <c r="F32" s="3" t="s">
        <v>305</v>
      </c>
      <c r="G32" t="s">
        <v>98</v>
      </c>
      <c r="H32" t="s">
        <v>137</v>
      </c>
      <c r="I32" t="s">
        <v>23</v>
      </c>
      <c r="J32" t="s">
        <v>126</v>
      </c>
      <c r="K32" t="s">
        <v>23</v>
      </c>
      <c r="L32" t="s">
        <v>267</v>
      </c>
      <c r="M32" t="s">
        <v>23</v>
      </c>
      <c r="O32" t="s">
        <v>25</v>
      </c>
    </row>
    <row r="33" spans="1:16" x14ac:dyDescent="0.2">
      <c r="A33">
        <v>2023</v>
      </c>
      <c r="B33" t="s">
        <v>39</v>
      </c>
      <c r="C33" t="s">
        <v>25</v>
      </c>
      <c r="D33" s="24" t="s">
        <v>29</v>
      </c>
      <c r="E33" s="24" t="s">
        <v>29</v>
      </c>
      <c r="F33" s="3" t="s">
        <v>313</v>
      </c>
      <c r="G33" t="s">
        <v>314</v>
      </c>
      <c r="H33" t="s">
        <v>3</v>
      </c>
      <c r="I33" t="s">
        <v>23</v>
      </c>
      <c r="J33" t="s">
        <v>126</v>
      </c>
      <c r="K33" t="s">
        <v>23</v>
      </c>
      <c r="L33" t="s">
        <v>350</v>
      </c>
      <c r="M33" t="s">
        <v>23</v>
      </c>
      <c r="O33" t="s">
        <v>24</v>
      </c>
      <c r="P33" t="s">
        <v>348</v>
      </c>
    </row>
    <row r="34" spans="1:16" x14ac:dyDescent="0.2">
      <c r="A34">
        <v>2023</v>
      </c>
      <c r="B34" t="s">
        <v>38</v>
      </c>
      <c r="C34" t="s">
        <v>25</v>
      </c>
      <c r="D34" s="24" t="s">
        <v>29</v>
      </c>
      <c r="E34" s="24" t="s">
        <v>29</v>
      </c>
      <c r="F34" s="3" t="s">
        <v>106</v>
      </c>
      <c r="G34" t="s">
        <v>98</v>
      </c>
      <c r="H34" t="s">
        <v>82</v>
      </c>
      <c r="I34" t="s">
        <v>23</v>
      </c>
      <c r="J34" t="s">
        <v>126</v>
      </c>
      <c r="K34" t="s">
        <v>23</v>
      </c>
      <c r="L34" t="s">
        <v>350</v>
      </c>
      <c r="M34" t="s">
        <v>23</v>
      </c>
      <c r="O34" t="s">
        <v>25</v>
      </c>
    </row>
    <row r="35" spans="1:16" x14ac:dyDescent="0.2">
      <c r="A35">
        <v>2023</v>
      </c>
      <c r="B35" t="s">
        <v>38</v>
      </c>
      <c r="C35" t="s">
        <v>24</v>
      </c>
      <c r="D35" s="24">
        <v>45139</v>
      </c>
      <c r="E35" s="24">
        <v>45291</v>
      </c>
      <c r="F35" s="3" t="s">
        <v>117</v>
      </c>
      <c r="G35" t="s">
        <v>30</v>
      </c>
      <c r="H35" t="s">
        <v>127</v>
      </c>
      <c r="I35" t="s">
        <v>23</v>
      </c>
      <c r="J35" t="s">
        <v>126</v>
      </c>
      <c r="K35" t="s">
        <v>23</v>
      </c>
      <c r="L35" t="s">
        <v>33</v>
      </c>
      <c r="M35" t="s">
        <v>23</v>
      </c>
      <c r="O35" t="s">
        <v>25</v>
      </c>
      <c r="P35" t="s">
        <v>561</v>
      </c>
    </row>
    <row r="36" spans="1:16" x14ac:dyDescent="0.2">
      <c r="A36">
        <v>2023</v>
      </c>
      <c r="B36" t="s">
        <v>38</v>
      </c>
      <c r="C36" t="s">
        <v>25</v>
      </c>
      <c r="D36" s="24" t="s">
        <v>29</v>
      </c>
      <c r="E36" s="24" t="s">
        <v>29</v>
      </c>
      <c r="F36" s="3" t="s">
        <v>569</v>
      </c>
      <c r="G36" t="s">
        <v>77</v>
      </c>
      <c r="H36" t="s">
        <v>127</v>
      </c>
      <c r="I36" t="s">
        <v>23</v>
      </c>
      <c r="J36" t="s">
        <v>126</v>
      </c>
      <c r="K36" t="s">
        <v>23</v>
      </c>
      <c r="L36" t="s">
        <v>33</v>
      </c>
      <c r="M36" t="s">
        <v>23</v>
      </c>
      <c r="O36" t="s">
        <v>25</v>
      </c>
    </row>
    <row r="37" spans="1:16" x14ac:dyDescent="0.2">
      <c r="A37">
        <v>2023</v>
      </c>
      <c r="B37" t="s">
        <v>92</v>
      </c>
      <c r="C37" t="s">
        <v>25</v>
      </c>
      <c r="D37" s="24" t="s">
        <v>29</v>
      </c>
      <c r="E37" s="24" t="s">
        <v>29</v>
      </c>
      <c r="F37" s="3" t="s">
        <v>78</v>
      </c>
      <c r="G37" t="s">
        <v>77</v>
      </c>
      <c r="H37" t="s">
        <v>82</v>
      </c>
      <c r="I37" t="s">
        <v>23</v>
      </c>
      <c r="J37" t="s">
        <v>474</v>
      </c>
      <c r="K37" t="s">
        <v>23</v>
      </c>
      <c r="L37" t="s">
        <v>202</v>
      </c>
      <c r="M37" t="s">
        <v>23</v>
      </c>
      <c r="O37" t="s">
        <v>25</v>
      </c>
    </row>
    <row r="38" spans="1:16" x14ac:dyDescent="0.2">
      <c r="A38">
        <v>2023</v>
      </c>
      <c r="B38" t="s">
        <v>92</v>
      </c>
      <c r="C38" t="s">
        <v>25</v>
      </c>
      <c r="D38" s="24" t="s">
        <v>29</v>
      </c>
      <c r="E38" s="24" t="s">
        <v>29</v>
      </c>
      <c r="F38" s="3" t="s">
        <v>79</v>
      </c>
      <c r="G38" t="s">
        <v>77</v>
      </c>
      <c r="H38" t="s">
        <v>82</v>
      </c>
      <c r="I38" t="s">
        <v>23</v>
      </c>
      <c r="J38" t="s">
        <v>474</v>
      </c>
      <c r="K38" t="s">
        <v>23</v>
      </c>
      <c r="L38" t="s">
        <v>204</v>
      </c>
      <c r="M38" t="s">
        <v>23</v>
      </c>
      <c r="O38" t="s">
        <v>25</v>
      </c>
    </row>
    <row r="39" spans="1:16" x14ac:dyDescent="0.2">
      <c r="A39">
        <v>2024</v>
      </c>
      <c r="B39" t="s">
        <v>40</v>
      </c>
      <c r="C39" t="s">
        <v>25</v>
      </c>
      <c r="D39" s="24" t="s">
        <v>29</v>
      </c>
      <c r="E39" s="24" t="s">
        <v>29</v>
      </c>
      <c r="F39" s="8" t="s">
        <v>566</v>
      </c>
      <c r="G39" t="s">
        <v>30</v>
      </c>
      <c r="H39" t="s">
        <v>127</v>
      </c>
      <c r="I39" t="s">
        <v>23</v>
      </c>
      <c r="J39" t="s">
        <v>126</v>
      </c>
      <c r="K39" t="s">
        <v>23</v>
      </c>
      <c r="L39" t="s">
        <v>33</v>
      </c>
      <c r="M39" t="s">
        <v>23</v>
      </c>
      <c r="O39" t="s">
        <v>25</v>
      </c>
      <c r="P39" t="s">
        <v>567</v>
      </c>
    </row>
    <row r="40" spans="1:16" x14ac:dyDescent="0.2">
      <c r="A40">
        <v>2024</v>
      </c>
      <c r="B40" t="s">
        <v>40</v>
      </c>
      <c r="C40" t="s">
        <v>25</v>
      </c>
      <c r="D40" s="24" t="s">
        <v>29</v>
      </c>
      <c r="E40" s="24" t="s">
        <v>29</v>
      </c>
      <c r="F40" s="3" t="s">
        <v>93</v>
      </c>
      <c r="G40" t="s">
        <v>43</v>
      </c>
      <c r="H40" t="s">
        <v>475</v>
      </c>
      <c r="I40" t="s">
        <v>23</v>
      </c>
      <c r="J40" t="s">
        <v>128</v>
      </c>
      <c r="K40" t="s">
        <v>23</v>
      </c>
      <c r="L40" t="s">
        <v>150</v>
      </c>
      <c r="M40" t="s">
        <v>23</v>
      </c>
      <c r="O40" t="s">
        <v>25</v>
      </c>
      <c r="P40" t="s">
        <v>307</v>
      </c>
    </row>
    <row r="41" spans="1:16" x14ac:dyDescent="0.2">
      <c r="A41">
        <v>2024</v>
      </c>
      <c r="B41" t="s">
        <v>40</v>
      </c>
      <c r="C41" t="s">
        <v>24</v>
      </c>
      <c r="D41" s="24">
        <v>45292</v>
      </c>
      <c r="E41" s="24">
        <v>45473</v>
      </c>
      <c r="F41" s="3" t="s">
        <v>101</v>
      </c>
      <c r="G41" t="s">
        <v>98</v>
      </c>
      <c r="H41" t="s">
        <v>137</v>
      </c>
      <c r="I41" t="s">
        <v>23</v>
      </c>
      <c r="J41" t="s">
        <v>138</v>
      </c>
      <c r="K41" t="s">
        <v>133</v>
      </c>
      <c r="L41" t="s">
        <v>202</v>
      </c>
      <c r="M41" t="s">
        <v>23</v>
      </c>
      <c r="O41" t="s">
        <v>25</v>
      </c>
    </row>
    <row r="42" spans="1:16" x14ac:dyDescent="0.2">
      <c r="A42">
        <v>2024</v>
      </c>
      <c r="B42" t="s">
        <v>40</v>
      </c>
      <c r="C42" t="s">
        <v>25</v>
      </c>
      <c r="D42" s="24" t="s">
        <v>29</v>
      </c>
      <c r="E42" s="24" t="s">
        <v>29</v>
      </c>
      <c r="F42" s="3" t="s">
        <v>413</v>
      </c>
      <c r="G42" t="s">
        <v>75</v>
      </c>
      <c r="H42" t="s">
        <v>82</v>
      </c>
      <c r="I42" t="s">
        <v>23</v>
      </c>
      <c r="J42" t="s">
        <v>126</v>
      </c>
      <c r="K42" t="s">
        <v>23</v>
      </c>
      <c r="L42" t="s">
        <v>350</v>
      </c>
      <c r="M42" t="s">
        <v>23</v>
      </c>
      <c r="O42" t="s">
        <v>25</v>
      </c>
    </row>
    <row r="43" spans="1:16" x14ac:dyDescent="0.2">
      <c r="A43">
        <v>2024</v>
      </c>
      <c r="B43" t="s">
        <v>40</v>
      </c>
      <c r="C43" t="s">
        <v>25</v>
      </c>
      <c r="D43" s="24" t="s">
        <v>29</v>
      </c>
      <c r="E43" s="24" t="s">
        <v>29</v>
      </c>
      <c r="F43" s="3" t="s">
        <v>107</v>
      </c>
      <c r="G43" t="s">
        <v>43</v>
      </c>
      <c r="H43" t="s">
        <v>136</v>
      </c>
      <c r="I43" t="s">
        <v>23</v>
      </c>
      <c r="J43" t="s">
        <v>139</v>
      </c>
      <c r="K43" t="s">
        <v>126</v>
      </c>
      <c r="L43" t="s">
        <v>69</v>
      </c>
      <c r="M43" t="s">
        <v>23</v>
      </c>
      <c r="O43" t="s">
        <v>25</v>
      </c>
    </row>
    <row r="44" spans="1:16" x14ac:dyDescent="0.2">
      <c r="A44">
        <v>2024</v>
      </c>
      <c r="B44" t="s">
        <v>40</v>
      </c>
      <c r="C44" t="s">
        <v>24</v>
      </c>
      <c r="D44" s="24">
        <v>45292</v>
      </c>
      <c r="E44" s="24">
        <v>45657</v>
      </c>
      <c r="F44" s="3" t="s">
        <v>268</v>
      </c>
      <c r="G44" t="s">
        <v>264</v>
      </c>
      <c r="H44" t="s">
        <v>137</v>
      </c>
      <c r="I44" t="s">
        <v>23</v>
      </c>
      <c r="J44" t="s">
        <v>138</v>
      </c>
      <c r="K44" t="s">
        <v>23</v>
      </c>
      <c r="L44" t="s">
        <v>267</v>
      </c>
      <c r="M44" t="s">
        <v>23</v>
      </c>
      <c r="O44" t="s">
        <v>25</v>
      </c>
    </row>
    <row r="45" spans="1:16" x14ac:dyDescent="0.2">
      <c r="A45">
        <v>2024</v>
      </c>
      <c r="B45" t="s">
        <v>40</v>
      </c>
      <c r="C45" t="s">
        <v>24</v>
      </c>
      <c r="D45" s="24">
        <v>45292</v>
      </c>
      <c r="E45" s="24">
        <v>45443</v>
      </c>
      <c r="F45" s="3" t="s">
        <v>308</v>
      </c>
      <c r="G45" t="s">
        <v>43</v>
      </c>
      <c r="H45" t="s">
        <v>475</v>
      </c>
      <c r="I45" t="s">
        <v>23</v>
      </c>
      <c r="J45" t="s">
        <v>126</v>
      </c>
      <c r="K45" t="s">
        <v>128</v>
      </c>
      <c r="L45" t="s">
        <v>350</v>
      </c>
      <c r="M45" t="s">
        <v>23</v>
      </c>
      <c r="O45" t="s">
        <v>25</v>
      </c>
      <c r="P45" t="s">
        <v>309</v>
      </c>
    </row>
    <row r="46" spans="1:16" x14ac:dyDescent="0.2">
      <c r="A46">
        <v>2024</v>
      </c>
      <c r="B46" t="s">
        <v>40</v>
      </c>
      <c r="C46" t="s">
        <v>24</v>
      </c>
      <c r="D46" s="24">
        <v>45292</v>
      </c>
      <c r="E46" s="24">
        <v>45657</v>
      </c>
      <c r="F46" s="3" t="s">
        <v>328</v>
      </c>
      <c r="G46" t="s">
        <v>329</v>
      </c>
      <c r="H46" t="s">
        <v>137</v>
      </c>
      <c r="I46" t="s">
        <v>23</v>
      </c>
      <c r="J46" t="s">
        <v>138</v>
      </c>
      <c r="K46" t="s">
        <v>23</v>
      </c>
      <c r="L46" t="s">
        <v>267</v>
      </c>
      <c r="M46" t="s">
        <v>23</v>
      </c>
      <c r="O46" t="s">
        <v>25</v>
      </c>
      <c r="P46" t="s">
        <v>330</v>
      </c>
    </row>
    <row r="47" spans="1:16" x14ac:dyDescent="0.2">
      <c r="A47">
        <v>2024</v>
      </c>
      <c r="B47" t="s">
        <v>40</v>
      </c>
      <c r="C47" t="s">
        <v>24</v>
      </c>
      <c r="D47" s="24">
        <v>45292</v>
      </c>
      <c r="E47" s="24">
        <v>45657</v>
      </c>
      <c r="F47" s="3" t="s">
        <v>90</v>
      </c>
      <c r="G47" t="s">
        <v>89</v>
      </c>
      <c r="H47" t="s">
        <v>487</v>
      </c>
      <c r="I47" t="s">
        <v>23</v>
      </c>
      <c r="J47" t="s">
        <v>486</v>
      </c>
      <c r="K47" t="s">
        <v>23</v>
      </c>
      <c r="L47" t="s">
        <v>150</v>
      </c>
      <c r="M47" t="s">
        <v>23</v>
      </c>
      <c r="O47" t="s">
        <v>25</v>
      </c>
      <c r="P47" t="s">
        <v>91</v>
      </c>
    </row>
    <row r="48" spans="1:16" x14ac:dyDescent="0.2">
      <c r="A48" s="5">
        <v>2024</v>
      </c>
      <c r="B48" s="5" t="s">
        <v>40</v>
      </c>
      <c r="C48" s="5" t="s">
        <v>24</v>
      </c>
      <c r="D48" s="25">
        <v>45292</v>
      </c>
      <c r="E48" s="25">
        <v>45657</v>
      </c>
      <c r="F48" s="3" t="s">
        <v>386</v>
      </c>
      <c r="G48" s="5" t="s">
        <v>317</v>
      </c>
      <c r="H48" s="5" t="s">
        <v>137</v>
      </c>
      <c r="I48" s="5" t="s">
        <v>23</v>
      </c>
      <c r="J48" s="5" t="s">
        <v>133</v>
      </c>
      <c r="K48" s="5" t="s">
        <v>23</v>
      </c>
      <c r="L48" s="5" t="s">
        <v>350</v>
      </c>
      <c r="M48" s="5" t="s">
        <v>23</v>
      </c>
      <c r="N48" s="5" t="s">
        <v>25</v>
      </c>
      <c r="O48" s="5" t="s">
        <v>25</v>
      </c>
      <c r="P48" s="5" t="s">
        <v>387</v>
      </c>
    </row>
    <row r="49" spans="1:16" x14ac:dyDescent="0.2">
      <c r="A49">
        <v>2024</v>
      </c>
      <c r="B49" t="s">
        <v>40</v>
      </c>
      <c r="C49" t="s">
        <v>24</v>
      </c>
      <c r="D49" s="24">
        <v>45292</v>
      </c>
      <c r="E49" s="24">
        <v>45534</v>
      </c>
      <c r="F49" s="3" t="s">
        <v>571</v>
      </c>
      <c r="G49" t="s">
        <v>35</v>
      </c>
      <c r="H49" t="s">
        <v>137</v>
      </c>
      <c r="I49" t="s">
        <v>23</v>
      </c>
      <c r="J49" t="s">
        <v>133</v>
      </c>
      <c r="K49" t="s">
        <v>23</v>
      </c>
      <c r="L49" t="s">
        <v>350</v>
      </c>
      <c r="M49" t="s">
        <v>23</v>
      </c>
      <c r="N49" t="s">
        <v>25</v>
      </c>
      <c r="O49" t="s">
        <v>25</v>
      </c>
      <c r="P49" t="s">
        <v>572</v>
      </c>
    </row>
    <row r="50" spans="1:16" x14ac:dyDescent="0.2">
      <c r="A50">
        <v>2024</v>
      </c>
      <c r="B50" t="s">
        <v>40</v>
      </c>
      <c r="C50" t="s">
        <v>24</v>
      </c>
      <c r="D50" s="24">
        <v>45292</v>
      </c>
      <c r="E50" s="24">
        <v>45657</v>
      </c>
      <c r="F50" s="3" t="s">
        <v>395</v>
      </c>
      <c r="G50" t="s">
        <v>121</v>
      </c>
      <c r="H50" t="s">
        <v>473</v>
      </c>
      <c r="I50" t="s">
        <v>23</v>
      </c>
      <c r="J50" t="s">
        <v>134</v>
      </c>
      <c r="K50" t="s">
        <v>23</v>
      </c>
      <c r="L50" t="s">
        <v>49</v>
      </c>
      <c r="M50" t="s">
        <v>23</v>
      </c>
      <c r="O50" t="s">
        <v>25</v>
      </c>
    </row>
    <row r="51" spans="1:16" x14ac:dyDescent="0.2">
      <c r="A51">
        <v>2024</v>
      </c>
      <c r="B51" t="s">
        <v>40</v>
      </c>
      <c r="C51" t="s">
        <v>25</v>
      </c>
      <c r="D51" s="24" t="s">
        <v>29</v>
      </c>
      <c r="E51" s="24" t="s">
        <v>29</v>
      </c>
      <c r="F51" s="3" t="s">
        <v>452</v>
      </c>
      <c r="G51" t="s">
        <v>77</v>
      </c>
      <c r="H51" t="s">
        <v>82</v>
      </c>
      <c r="I51" t="s">
        <v>23</v>
      </c>
      <c r="J51" t="s">
        <v>126</v>
      </c>
      <c r="K51" t="s">
        <v>23</v>
      </c>
      <c r="L51" t="s">
        <v>143</v>
      </c>
      <c r="M51" t="s">
        <v>23</v>
      </c>
      <c r="N51" t="s">
        <v>24</v>
      </c>
      <c r="O51" t="s">
        <v>25</v>
      </c>
    </row>
    <row r="52" spans="1:16" x14ac:dyDescent="0.2">
      <c r="A52">
        <v>2024</v>
      </c>
      <c r="B52" t="s">
        <v>40</v>
      </c>
      <c r="C52" t="s">
        <v>24</v>
      </c>
      <c r="D52" s="24">
        <v>45292</v>
      </c>
      <c r="E52" s="24">
        <v>45382</v>
      </c>
      <c r="F52" s="3" t="s">
        <v>563</v>
      </c>
      <c r="G52" s="3" t="s">
        <v>103</v>
      </c>
      <c r="H52" t="s">
        <v>137</v>
      </c>
      <c r="I52" t="s">
        <v>23</v>
      </c>
      <c r="J52" t="s">
        <v>138</v>
      </c>
      <c r="K52" t="s">
        <v>133</v>
      </c>
      <c r="L52" t="s">
        <v>202</v>
      </c>
      <c r="M52" t="s">
        <v>23</v>
      </c>
      <c r="O52" t="s">
        <v>25</v>
      </c>
      <c r="P52" t="s">
        <v>564</v>
      </c>
    </row>
    <row r="53" spans="1:16" x14ac:dyDescent="0.2">
      <c r="A53">
        <v>2024</v>
      </c>
      <c r="B53" t="s">
        <v>57</v>
      </c>
      <c r="C53" t="s">
        <v>25</v>
      </c>
      <c r="D53" s="24" t="s">
        <v>29</v>
      </c>
      <c r="E53" s="24" t="s">
        <v>29</v>
      </c>
      <c r="F53" s="3" t="s">
        <v>96</v>
      </c>
      <c r="G53" t="s">
        <v>58</v>
      </c>
      <c r="H53" t="s">
        <v>59</v>
      </c>
      <c r="I53" t="s">
        <v>23</v>
      </c>
      <c r="J53" t="s">
        <v>135</v>
      </c>
      <c r="K53" t="s">
        <v>23</v>
      </c>
      <c r="L53" t="s">
        <v>205</v>
      </c>
      <c r="M53" t="s">
        <v>23</v>
      </c>
      <c r="O53" t="s">
        <v>25</v>
      </c>
    </row>
    <row r="54" spans="1:16" x14ac:dyDescent="0.2">
      <c r="A54">
        <v>2024</v>
      </c>
      <c r="B54" t="s">
        <v>57</v>
      </c>
      <c r="C54" t="s">
        <v>25</v>
      </c>
      <c r="D54" s="24" t="s">
        <v>29</v>
      </c>
      <c r="E54" s="24" t="s">
        <v>29</v>
      </c>
      <c r="F54" s="3" t="s">
        <v>80</v>
      </c>
      <c r="G54" t="s">
        <v>72</v>
      </c>
      <c r="H54" t="s">
        <v>475</v>
      </c>
      <c r="I54" t="s">
        <v>23</v>
      </c>
      <c r="J54" t="s">
        <v>126</v>
      </c>
      <c r="K54" t="s">
        <v>23</v>
      </c>
      <c r="L54" t="s">
        <v>350</v>
      </c>
      <c r="M54" t="s">
        <v>23</v>
      </c>
      <c r="O54" t="s">
        <v>25</v>
      </c>
    </row>
    <row r="55" spans="1:16" x14ac:dyDescent="0.2">
      <c r="A55">
        <v>2024</v>
      </c>
      <c r="B55" t="s">
        <v>57</v>
      </c>
      <c r="C55" t="s">
        <v>24</v>
      </c>
      <c r="D55" s="24">
        <v>45323</v>
      </c>
      <c r="E55" s="24">
        <v>45657</v>
      </c>
      <c r="F55" s="3" t="s">
        <v>345</v>
      </c>
      <c r="G55" t="s">
        <v>43</v>
      </c>
      <c r="H55" t="s">
        <v>487</v>
      </c>
      <c r="I55" t="s">
        <v>23</v>
      </c>
      <c r="J55" t="s">
        <v>486</v>
      </c>
      <c r="K55" t="s">
        <v>23</v>
      </c>
      <c r="L55" t="s">
        <v>151</v>
      </c>
      <c r="M55" t="s">
        <v>23</v>
      </c>
      <c r="N55" t="s">
        <v>24</v>
      </c>
      <c r="O55" t="s">
        <v>25</v>
      </c>
    </row>
    <row r="56" spans="1:16" x14ac:dyDescent="0.2">
      <c r="A56">
        <v>2024</v>
      </c>
      <c r="B56" t="s">
        <v>63</v>
      </c>
      <c r="C56" t="s">
        <v>25</v>
      </c>
      <c r="D56" s="24" t="s">
        <v>29</v>
      </c>
      <c r="E56" s="24" t="s">
        <v>29</v>
      </c>
      <c r="F56" s="3" t="s">
        <v>51</v>
      </c>
      <c r="G56" t="s">
        <v>48</v>
      </c>
      <c r="H56" t="s">
        <v>475</v>
      </c>
      <c r="I56" t="s">
        <v>23</v>
      </c>
      <c r="J56" t="s">
        <v>133</v>
      </c>
      <c r="K56" t="s">
        <v>23</v>
      </c>
      <c r="L56" t="s">
        <v>55</v>
      </c>
      <c r="M56" t="s">
        <v>23</v>
      </c>
      <c r="O56" t="s">
        <v>25</v>
      </c>
    </row>
    <row r="57" spans="1:16" x14ac:dyDescent="0.2">
      <c r="A57">
        <v>2024</v>
      </c>
      <c r="B57" t="s">
        <v>63</v>
      </c>
      <c r="C57" t="s">
        <v>25</v>
      </c>
      <c r="D57" s="24" t="s">
        <v>29</v>
      </c>
      <c r="E57" s="24" t="s">
        <v>29</v>
      </c>
      <c r="F57" s="3" t="s">
        <v>221</v>
      </c>
      <c r="G57" t="s">
        <v>58</v>
      </c>
      <c r="H57" t="s">
        <v>475</v>
      </c>
      <c r="I57" t="s">
        <v>23</v>
      </c>
      <c r="J57" t="s">
        <v>133</v>
      </c>
      <c r="K57" t="s">
        <v>23</v>
      </c>
      <c r="L57" t="s">
        <v>55</v>
      </c>
      <c r="M57" t="s">
        <v>23</v>
      </c>
      <c r="O57" t="s">
        <v>25</v>
      </c>
      <c r="P57" t="s">
        <v>222</v>
      </c>
    </row>
    <row r="58" spans="1:16" x14ac:dyDescent="0.2">
      <c r="A58">
        <v>2024</v>
      </c>
      <c r="B58" t="s">
        <v>63</v>
      </c>
      <c r="C58" t="s">
        <v>25</v>
      </c>
      <c r="D58" s="24" t="s">
        <v>29</v>
      </c>
      <c r="E58" s="24" t="s">
        <v>29</v>
      </c>
      <c r="F58" s="3" t="s">
        <v>108</v>
      </c>
      <c r="G58" t="s">
        <v>98</v>
      </c>
      <c r="H58" t="s">
        <v>136</v>
      </c>
      <c r="I58" t="s">
        <v>23</v>
      </c>
      <c r="J58" t="s">
        <v>139</v>
      </c>
      <c r="K58" t="s">
        <v>126</v>
      </c>
      <c r="L58" t="s">
        <v>69</v>
      </c>
      <c r="M58" t="s">
        <v>23</v>
      </c>
      <c r="O58" t="s">
        <v>25</v>
      </c>
    </row>
    <row r="59" spans="1:16" x14ac:dyDescent="0.2">
      <c r="A59">
        <v>2024</v>
      </c>
      <c r="B59" t="s">
        <v>63</v>
      </c>
      <c r="C59" t="s">
        <v>25</v>
      </c>
      <c r="D59" s="24" t="s">
        <v>29</v>
      </c>
      <c r="E59" s="24" t="s">
        <v>29</v>
      </c>
      <c r="F59" s="3" t="s">
        <v>236</v>
      </c>
      <c r="G59" t="s">
        <v>98</v>
      </c>
      <c r="H59" t="s">
        <v>82</v>
      </c>
      <c r="I59" t="s">
        <v>23</v>
      </c>
      <c r="J59" t="s">
        <v>126</v>
      </c>
      <c r="K59" t="s">
        <v>23</v>
      </c>
      <c r="L59" t="s">
        <v>350</v>
      </c>
      <c r="M59" t="s">
        <v>23</v>
      </c>
      <c r="O59" t="s">
        <v>25</v>
      </c>
    </row>
    <row r="60" spans="1:16" x14ac:dyDescent="0.2">
      <c r="A60">
        <v>2024</v>
      </c>
      <c r="B60" t="s">
        <v>63</v>
      </c>
      <c r="C60" t="s">
        <v>25</v>
      </c>
      <c r="D60" s="24" t="s">
        <v>29</v>
      </c>
      <c r="E60" s="24" t="s">
        <v>29</v>
      </c>
      <c r="F60" s="3" t="s">
        <v>237</v>
      </c>
      <c r="G60" t="s">
        <v>98</v>
      </c>
      <c r="H60" t="s">
        <v>82</v>
      </c>
      <c r="I60" t="s">
        <v>23</v>
      </c>
      <c r="J60" t="s">
        <v>126</v>
      </c>
      <c r="K60" t="s">
        <v>23</v>
      </c>
      <c r="L60" t="s">
        <v>350</v>
      </c>
      <c r="M60" t="s">
        <v>23</v>
      </c>
      <c r="O60" t="s">
        <v>25</v>
      </c>
    </row>
    <row r="61" spans="1:16" x14ac:dyDescent="0.2">
      <c r="A61">
        <v>2024</v>
      </c>
      <c r="B61" t="s">
        <v>63</v>
      </c>
      <c r="C61" t="s">
        <v>25</v>
      </c>
      <c r="D61" s="24" t="s">
        <v>29</v>
      </c>
      <c r="E61" s="24" t="s">
        <v>29</v>
      </c>
      <c r="F61" s="3" t="s">
        <v>270</v>
      </c>
      <c r="G61" t="s">
        <v>98</v>
      </c>
      <c r="H61" t="s">
        <v>137</v>
      </c>
      <c r="I61" t="s">
        <v>23</v>
      </c>
      <c r="J61" t="s">
        <v>138</v>
      </c>
      <c r="K61" t="s">
        <v>23</v>
      </c>
      <c r="L61" t="s">
        <v>267</v>
      </c>
      <c r="M61" t="s">
        <v>23</v>
      </c>
      <c r="O61" t="s">
        <v>25</v>
      </c>
    </row>
    <row r="62" spans="1:16" x14ac:dyDescent="0.2">
      <c r="A62">
        <v>2024</v>
      </c>
      <c r="B62" t="s">
        <v>63</v>
      </c>
      <c r="C62" t="s">
        <v>24</v>
      </c>
      <c r="D62" s="24" t="s">
        <v>63</v>
      </c>
      <c r="E62" s="24" t="s">
        <v>46</v>
      </c>
      <c r="F62" s="3" t="s">
        <v>575</v>
      </c>
      <c r="G62" t="s">
        <v>35</v>
      </c>
      <c r="H62" t="s">
        <v>130</v>
      </c>
      <c r="I62" t="s">
        <v>23</v>
      </c>
      <c r="J62" t="s">
        <v>133</v>
      </c>
      <c r="K62" t="s">
        <v>23</v>
      </c>
      <c r="L62" t="s">
        <v>203</v>
      </c>
      <c r="M62" t="s">
        <v>23</v>
      </c>
      <c r="O62" t="s">
        <v>25</v>
      </c>
      <c r="P62" s="9" t="s">
        <v>576</v>
      </c>
    </row>
    <row r="63" spans="1:16" x14ac:dyDescent="0.2">
      <c r="A63">
        <v>2024</v>
      </c>
      <c r="B63" t="s">
        <v>41</v>
      </c>
      <c r="C63" t="s">
        <v>25</v>
      </c>
      <c r="D63" s="24" t="s">
        <v>29</v>
      </c>
      <c r="E63" s="24" t="s">
        <v>29</v>
      </c>
      <c r="F63" s="3" t="s">
        <v>34</v>
      </c>
      <c r="G63" t="s">
        <v>35</v>
      </c>
      <c r="H63" t="s">
        <v>129</v>
      </c>
      <c r="I63" t="s">
        <v>23</v>
      </c>
      <c r="J63" t="s">
        <v>133</v>
      </c>
      <c r="K63" t="s">
        <v>23</v>
      </c>
      <c r="L63" t="s">
        <v>45</v>
      </c>
      <c r="M63" t="s">
        <v>151</v>
      </c>
      <c r="O63" t="s">
        <v>25</v>
      </c>
    </row>
    <row r="64" spans="1:16" x14ac:dyDescent="0.2">
      <c r="A64">
        <v>2024</v>
      </c>
      <c r="B64" t="s">
        <v>41</v>
      </c>
      <c r="C64" t="s">
        <v>25</v>
      </c>
      <c r="D64" s="24" t="s">
        <v>29</v>
      </c>
      <c r="E64" s="24" t="s">
        <v>29</v>
      </c>
      <c r="F64" s="3" t="s">
        <v>95</v>
      </c>
      <c r="G64" t="s">
        <v>43</v>
      </c>
      <c r="H64" t="s">
        <v>130</v>
      </c>
      <c r="I64" t="s">
        <v>23</v>
      </c>
      <c r="J64" t="s">
        <v>481</v>
      </c>
      <c r="K64" t="s">
        <v>23</v>
      </c>
      <c r="L64" t="s">
        <v>202</v>
      </c>
      <c r="M64" t="s">
        <v>23</v>
      </c>
      <c r="O64" t="s">
        <v>25</v>
      </c>
    </row>
    <row r="65" spans="1:16" x14ac:dyDescent="0.2">
      <c r="A65">
        <v>2024</v>
      </c>
      <c r="B65" t="s">
        <v>41</v>
      </c>
      <c r="C65" t="s">
        <v>25</v>
      </c>
      <c r="D65" s="24" t="s">
        <v>29</v>
      </c>
      <c r="E65" s="24" t="s">
        <v>29</v>
      </c>
      <c r="F65" s="3" t="s">
        <v>292</v>
      </c>
      <c r="G65" t="s">
        <v>58</v>
      </c>
      <c r="H65" t="s">
        <v>137</v>
      </c>
      <c r="I65" t="s">
        <v>23</v>
      </c>
      <c r="J65" t="s">
        <v>138</v>
      </c>
      <c r="K65" t="s">
        <v>23</v>
      </c>
      <c r="L65" t="s">
        <v>267</v>
      </c>
      <c r="M65" t="s">
        <v>23</v>
      </c>
      <c r="O65" t="s">
        <v>25</v>
      </c>
    </row>
    <row r="66" spans="1:16" x14ac:dyDescent="0.2">
      <c r="A66">
        <v>2024</v>
      </c>
      <c r="B66" t="s">
        <v>41</v>
      </c>
      <c r="C66" t="s">
        <v>25</v>
      </c>
      <c r="D66" s="24" t="s">
        <v>29</v>
      </c>
      <c r="E66" s="24" t="s">
        <v>29</v>
      </c>
      <c r="F66" s="3" t="s">
        <v>306</v>
      </c>
      <c r="G66" t="s">
        <v>43</v>
      </c>
      <c r="H66" t="s">
        <v>475</v>
      </c>
      <c r="I66" t="s">
        <v>23</v>
      </c>
      <c r="J66" t="s">
        <v>126</v>
      </c>
      <c r="K66" t="s">
        <v>128</v>
      </c>
      <c r="L66" t="s">
        <v>350</v>
      </c>
      <c r="M66" t="s">
        <v>23</v>
      </c>
      <c r="O66" t="s">
        <v>25</v>
      </c>
    </row>
    <row r="67" spans="1:16" x14ac:dyDescent="0.2">
      <c r="A67">
        <v>2024</v>
      </c>
      <c r="B67" t="s">
        <v>41</v>
      </c>
      <c r="C67" t="s">
        <v>25</v>
      </c>
      <c r="D67" s="24" t="s">
        <v>29</v>
      </c>
      <c r="E67" s="24" t="s">
        <v>29</v>
      </c>
      <c r="F67" s="3" t="s">
        <v>419</v>
      </c>
      <c r="G67" t="s">
        <v>98</v>
      </c>
      <c r="H67" t="s">
        <v>137</v>
      </c>
      <c r="I67" t="s">
        <v>23</v>
      </c>
      <c r="J67" t="s">
        <v>138</v>
      </c>
      <c r="K67" t="s">
        <v>23</v>
      </c>
      <c r="L67" t="s">
        <v>350</v>
      </c>
      <c r="M67" t="s">
        <v>23</v>
      </c>
      <c r="N67" t="s">
        <v>24</v>
      </c>
      <c r="O67" t="s">
        <v>25</v>
      </c>
      <c r="P67" t="s">
        <v>420</v>
      </c>
    </row>
    <row r="68" spans="1:16" x14ac:dyDescent="0.2">
      <c r="A68">
        <v>2024</v>
      </c>
      <c r="B68" t="s">
        <v>42</v>
      </c>
      <c r="C68" t="s">
        <v>25</v>
      </c>
      <c r="D68" s="24" t="s">
        <v>29</v>
      </c>
      <c r="E68" s="24" t="s">
        <v>29</v>
      </c>
      <c r="F68" s="3" t="s">
        <v>219</v>
      </c>
      <c r="G68" t="s">
        <v>43</v>
      </c>
      <c r="H68" t="s">
        <v>475</v>
      </c>
      <c r="I68" t="s">
        <v>23</v>
      </c>
      <c r="J68" t="s">
        <v>126</v>
      </c>
      <c r="K68" t="s">
        <v>128</v>
      </c>
      <c r="L68" t="s">
        <v>350</v>
      </c>
      <c r="M68" t="s">
        <v>23</v>
      </c>
      <c r="O68" t="s">
        <v>25</v>
      </c>
      <c r="P68" s="3" t="s">
        <v>289</v>
      </c>
    </row>
    <row r="69" spans="1:16" x14ac:dyDescent="0.2">
      <c r="A69">
        <v>2024</v>
      </c>
      <c r="B69" t="s">
        <v>42</v>
      </c>
      <c r="C69" t="s">
        <v>25</v>
      </c>
      <c r="D69" s="24" t="s">
        <v>29</v>
      </c>
      <c r="E69" s="24" t="s">
        <v>29</v>
      </c>
      <c r="F69" s="3" t="s">
        <v>94</v>
      </c>
      <c r="G69" t="s">
        <v>75</v>
      </c>
      <c r="H69" t="s">
        <v>475</v>
      </c>
      <c r="I69" t="s">
        <v>23</v>
      </c>
      <c r="J69" t="s">
        <v>126</v>
      </c>
      <c r="K69" t="s">
        <v>128</v>
      </c>
      <c r="L69" t="s">
        <v>350</v>
      </c>
      <c r="M69" t="s">
        <v>23</v>
      </c>
      <c r="O69" t="s">
        <v>25</v>
      </c>
      <c r="P69" s="3" t="s">
        <v>289</v>
      </c>
    </row>
    <row r="70" spans="1:16" x14ac:dyDescent="0.2">
      <c r="A70">
        <v>2024</v>
      </c>
      <c r="B70" t="s">
        <v>42</v>
      </c>
      <c r="C70" t="s">
        <v>25</v>
      </c>
      <c r="D70" s="24" t="s">
        <v>29</v>
      </c>
      <c r="E70" s="24" t="s">
        <v>29</v>
      </c>
      <c r="F70" s="3" t="s">
        <v>140</v>
      </c>
      <c r="G70" t="s">
        <v>77</v>
      </c>
      <c r="H70" t="s">
        <v>82</v>
      </c>
      <c r="I70" t="s">
        <v>23</v>
      </c>
      <c r="J70" t="s">
        <v>126</v>
      </c>
      <c r="K70" t="s">
        <v>23</v>
      </c>
      <c r="L70" t="s">
        <v>33</v>
      </c>
      <c r="M70" t="s">
        <v>23</v>
      </c>
      <c r="O70" t="s">
        <v>25</v>
      </c>
    </row>
    <row r="71" spans="1:16" x14ac:dyDescent="0.2">
      <c r="A71">
        <v>2024</v>
      </c>
      <c r="B71" t="s">
        <v>42</v>
      </c>
      <c r="C71" t="s">
        <v>25</v>
      </c>
      <c r="D71" s="24" t="s">
        <v>29</v>
      </c>
      <c r="E71" s="24" t="s">
        <v>29</v>
      </c>
      <c r="F71" s="3" t="s">
        <v>238</v>
      </c>
      <c r="G71" t="s">
        <v>239</v>
      </c>
      <c r="H71" t="s">
        <v>3</v>
      </c>
      <c r="I71" t="s">
        <v>23</v>
      </c>
      <c r="J71" t="s">
        <v>126</v>
      </c>
      <c r="K71" t="s">
        <v>23</v>
      </c>
      <c r="L71" t="s">
        <v>350</v>
      </c>
      <c r="M71" t="s">
        <v>23</v>
      </c>
      <c r="O71" t="s">
        <v>25</v>
      </c>
      <c r="P71" t="s">
        <v>349</v>
      </c>
    </row>
    <row r="72" spans="1:16" x14ac:dyDescent="0.2">
      <c r="A72">
        <v>2024</v>
      </c>
      <c r="B72" t="s">
        <v>42</v>
      </c>
      <c r="C72" t="s">
        <v>25</v>
      </c>
      <c r="D72" s="24" t="s">
        <v>29</v>
      </c>
      <c r="E72" s="24" t="s">
        <v>29</v>
      </c>
      <c r="F72" s="3" t="s">
        <v>269</v>
      </c>
      <c r="G72" t="s">
        <v>43</v>
      </c>
      <c r="H72" t="s">
        <v>137</v>
      </c>
      <c r="I72" t="s">
        <v>23</v>
      </c>
      <c r="J72" t="s">
        <v>138</v>
      </c>
      <c r="K72" t="s">
        <v>23</v>
      </c>
      <c r="L72" t="s">
        <v>267</v>
      </c>
      <c r="M72" t="s">
        <v>23</v>
      </c>
      <c r="O72" t="s">
        <v>25</v>
      </c>
    </row>
    <row r="73" spans="1:16" x14ac:dyDescent="0.2">
      <c r="A73">
        <v>2024</v>
      </c>
      <c r="B73" t="s">
        <v>42</v>
      </c>
      <c r="C73" t="s">
        <v>25</v>
      </c>
      <c r="D73" s="24" t="s">
        <v>29</v>
      </c>
      <c r="E73" s="24" t="s">
        <v>29</v>
      </c>
      <c r="F73" s="3" t="s">
        <v>421</v>
      </c>
      <c r="G73" t="s">
        <v>35</v>
      </c>
      <c r="H73" t="s">
        <v>82</v>
      </c>
      <c r="I73" t="s">
        <v>23</v>
      </c>
      <c r="J73" t="s">
        <v>138</v>
      </c>
      <c r="K73" t="s">
        <v>23</v>
      </c>
      <c r="L73" t="s">
        <v>350</v>
      </c>
      <c r="M73" t="s">
        <v>23</v>
      </c>
      <c r="N73" t="s">
        <v>24</v>
      </c>
      <c r="O73" t="s">
        <v>25</v>
      </c>
      <c r="P73" t="s">
        <v>422</v>
      </c>
    </row>
    <row r="74" spans="1:16" x14ac:dyDescent="0.2">
      <c r="A74">
        <v>2024</v>
      </c>
      <c r="B74" t="s">
        <v>42</v>
      </c>
      <c r="C74" t="s">
        <v>25</v>
      </c>
      <c r="D74" s="24" t="s">
        <v>29</v>
      </c>
      <c r="E74" s="24" t="s">
        <v>29</v>
      </c>
      <c r="F74" s="3" t="s">
        <v>455</v>
      </c>
      <c r="G74" t="s">
        <v>43</v>
      </c>
      <c r="H74" t="s">
        <v>475</v>
      </c>
      <c r="I74" t="s">
        <v>23</v>
      </c>
      <c r="J74" t="s">
        <v>126</v>
      </c>
      <c r="K74" t="s">
        <v>23</v>
      </c>
      <c r="L74" t="s">
        <v>350</v>
      </c>
      <c r="M74" t="s">
        <v>23</v>
      </c>
      <c r="N74" t="s">
        <v>24</v>
      </c>
      <c r="O74" t="s">
        <v>25</v>
      </c>
      <c r="P74" t="s">
        <v>426</v>
      </c>
    </row>
    <row r="75" spans="1:16" x14ac:dyDescent="0.2">
      <c r="A75">
        <v>2024</v>
      </c>
      <c r="B75" t="s">
        <v>42</v>
      </c>
      <c r="C75" t="s">
        <v>25</v>
      </c>
      <c r="D75" s="24" t="s">
        <v>29</v>
      </c>
      <c r="E75" s="24" t="s">
        <v>29</v>
      </c>
      <c r="F75" s="3" t="s">
        <v>456</v>
      </c>
      <c r="G75" t="s">
        <v>43</v>
      </c>
      <c r="H75" t="s">
        <v>475</v>
      </c>
      <c r="I75" t="s">
        <v>23</v>
      </c>
      <c r="J75" t="s">
        <v>126</v>
      </c>
      <c r="K75" t="s">
        <v>23</v>
      </c>
      <c r="L75" t="s">
        <v>350</v>
      </c>
      <c r="M75" t="s">
        <v>23</v>
      </c>
      <c r="N75" t="s">
        <v>24</v>
      </c>
      <c r="O75" t="s">
        <v>25</v>
      </c>
      <c r="P75" t="s">
        <v>426</v>
      </c>
    </row>
    <row r="76" spans="1:16" x14ac:dyDescent="0.2">
      <c r="A76">
        <v>2024</v>
      </c>
      <c r="B76" t="s">
        <v>64</v>
      </c>
      <c r="C76" t="s">
        <v>25</v>
      </c>
      <c r="D76" s="24" t="s">
        <v>29</v>
      </c>
      <c r="E76" s="24" t="s">
        <v>29</v>
      </c>
      <c r="F76" s="3" t="s">
        <v>66</v>
      </c>
      <c r="G76" t="s">
        <v>76</v>
      </c>
      <c r="H76" t="s">
        <v>475</v>
      </c>
      <c r="I76" t="s">
        <v>23</v>
      </c>
      <c r="J76" t="s">
        <v>126</v>
      </c>
      <c r="K76" t="s">
        <v>23</v>
      </c>
      <c r="L76" t="s">
        <v>55</v>
      </c>
      <c r="M76" t="s">
        <v>23</v>
      </c>
      <c r="O76" t="s">
        <v>25</v>
      </c>
    </row>
    <row r="77" spans="1:16" x14ac:dyDescent="0.2">
      <c r="A77">
        <v>2024</v>
      </c>
      <c r="B77" t="s">
        <v>64</v>
      </c>
      <c r="C77" t="s">
        <v>25</v>
      </c>
      <c r="D77" s="24" t="s">
        <v>29</v>
      </c>
      <c r="E77" s="24" t="s">
        <v>29</v>
      </c>
      <c r="F77" s="3" t="s">
        <v>99</v>
      </c>
      <c r="G77" t="s">
        <v>98</v>
      </c>
      <c r="H77" t="s">
        <v>137</v>
      </c>
      <c r="I77" t="s">
        <v>23</v>
      </c>
      <c r="J77" t="s">
        <v>133</v>
      </c>
      <c r="K77" t="s">
        <v>23</v>
      </c>
      <c r="L77" t="s">
        <v>350</v>
      </c>
      <c r="M77" t="s">
        <v>23</v>
      </c>
      <c r="O77" t="s">
        <v>25</v>
      </c>
    </row>
    <row r="78" spans="1:16" x14ac:dyDescent="0.2">
      <c r="A78">
        <v>2024</v>
      </c>
      <c r="B78" t="s">
        <v>64</v>
      </c>
      <c r="C78" t="s">
        <v>25</v>
      </c>
      <c r="D78" s="24" t="s">
        <v>29</v>
      </c>
      <c r="E78" s="24" t="s">
        <v>29</v>
      </c>
      <c r="F78" s="3" t="s">
        <v>100</v>
      </c>
      <c r="G78" t="s">
        <v>98</v>
      </c>
      <c r="H78" t="s">
        <v>129</v>
      </c>
      <c r="I78" t="s">
        <v>23</v>
      </c>
      <c r="J78" t="s">
        <v>128</v>
      </c>
      <c r="K78" t="s">
        <v>126</v>
      </c>
      <c r="L78" t="s">
        <v>350</v>
      </c>
      <c r="M78" t="s">
        <v>23</v>
      </c>
      <c r="O78" t="s">
        <v>25</v>
      </c>
    </row>
    <row r="79" spans="1:16" x14ac:dyDescent="0.2">
      <c r="A79">
        <v>2024</v>
      </c>
      <c r="B79" t="s">
        <v>64</v>
      </c>
      <c r="C79" t="s">
        <v>24</v>
      </c>
      <c r="D79" s="24" t="s">
        <v>64</v>
      </c>
      <c r="E79" s="24" t="s">
        <v>46</v>
      </c>
      <c r="F79" s="3" t="s">
        <v>141</v>
      </c>
      <c r="G79" t="s">
        <v>30</v>
      </c>
      <c r="H79" t="s">
        <v>487</v>
      </c>
      <c r="I79" t="s">
        <v>23</v>
      </c>
      <c r="J79" t="s">
        <v>486</v>
      </c>
      <c r="K79" t="s">
        <v>23</v>
      </c>
      <c r="L79" t="s">
        <v>69</v>
      </c>
      <c r="M79" t="s">
        <v>23</v>
      </c>
      <c r="O79" t="s">
        <v>25</v>
      </c>
      <c r="P79" t="s">
        <v>227</v>
      </c>
    </row>
    <row r="80" spans="1:16" x14ac:dyDescent="0.2">
      <c r="A80">
        <v>2024</v>
      </c>
      <c r="B80" t="s">
        <v>64</v>
      </c>
      <c r="C80" t="s">
        <v>24</v>
      </c>
      <c r="D80" s="24" t="s">
        <v>64</v>
      </c>
      <c r="E80" s="24" t="s">
        <v>46</v>
      </c>
      <c r="F80" s="3" t="s">
        <v>283</v>
      </c>
      <c r="G80" t="s">
        <v>282</v>
      </c>
      <c r="H80" t="s">
        <v>137</v>
      </c>
      <c r="I80" t="s">
        <v>23</v>
      </c>
      <c r="J80" t="s">
        <v>138</v>
      </c>
      <c r="K80" t="s">
        <v>23</v>
      </c>
      <c r="L80" t="s">
        <v>267</v>
      </c>
      <c r="M80" t="s">
        <v>23</v>
      </c>
      <c r="O80" t="s">
        <v>25</v>
      </c>
    </row>
    <row r="81" spans="1:16" x14ac:dyDescent="0.2">
      <c r="A81">
        <v>2024</v>
      </c>
      <c r="B81" t="s">
        <v>64</v>
      </c>
      <c r="C81" t="s">
        <v>25</v>
      </c>
      <c r="D81" s="24" t="s">
        <v>29</v>
      </c>
      <c r="E81" s="24" t="s">
        <v>29</v>
      </c>
      <c r="F81" s="3" t="s">
        <v>321</v>
      </c>
      <c r="G81" t="s">
        <v>317</v>
      </c>
      <c r="H81" t="s">
        <v>136</v>
      </c>
      <c r="I81" t="s">
        <v>23</v>
      </c>
      <c r="J81" t="s">
        <v>138</v>
      </c>
      <c r="K81" t="s">
        <v>23</v>
      </c>
      <c r="L81" t="s">
        <v>267</v>
      </c>
      <c r="M81" t="s">
        <v>69</v>
      </c>
      <c r="O81" t="s">
        <v>24</v>
      </c>
      <c r="P81" t="s">
        <v>322</v>
      </c>
    </row>
    <row r="82" spans="1:16" x14ac:dyDescent="0.2">
      <c r="A82">
        <v>2024</v>
      </c>
      <c r="B82" t="s">
        <v>64</v>
      </c>
      <c r="C82" t="s">
        <v>25</v>
      </c>
      <c r="D82" s="24" t="s">
        <v>29</v>
      </c>
      <c r="E82" s="24" t="s">
        <v>29</v>
      </c>
      <c r="F82" s="3" t="s">
        <v>423</v>
      </c>
      <c r="G82" t="s">
        <v>266</v>
      </c>
      <c r="H82" t="s">
        <v>137</v>
      </c>
      <c r="I82" t="s">
        <v>23</v>
      </c>
      <c r="J82" t="s">
        <v>138</v>
      </c>
      <c r="K82" t="s">
        <v>23</v>
      </c>
      <c r="L82" t="s">
        <v>350</v>
      </c>
      <c r="M82" t="s">
        <v>23</v>
      </c>
      <c r="N82" t="s">
        <v>24</v>
      </c>
      <c r="O82" t="s">
        <v>25</v>
      </c>
    </row>
    <row r="83" spans="1:16" x14ac:dyDescent="0.2">
      <c r="A83">
        <v>2024</v>
      </c>
      <c r="B83" t="s">
        <v>64</v>
      </c>
      <c r="C83" t="s">
        <v>25</v>
      </c>
      <c r="D83" s="24" t="s">
        <v>29</v>
      </c>
      <c r="E83" s="24" t="s">
        <v>29</v>
      </c>
      <c r="F83" s="3" t="s">
        <v>424</v>
      </c>
      <c r="G83" t="s">
        <v>98</v>
      </c>
      <c r="H83" t="s">
        <v>137</v>
      </c>
      <c r="I83" t="s">
        <v>23</v>
      </c>
      <c r="J83" t="s">
        <v>138</v>
      </c>
      <c r="K83" t="s">
        <v>23</v>
      </c>
      <c r="L83" t="s">
        <v>350</v>
      </c>
      <c r="M83" t="s">
        <v>23</v>
      </c>
      <c r="N83" t="s">
        <v>24</v>
      </c>
      <c r="O83" t="s">
        <v>25</v>
      </c>
      <c r="P83" t="s">
        <v>425</v>
      </c>
    </row>
    <row r="84" spans="1:16" x14ac:dyDescent="0.2">
      <c r="A84">
        <v>2024</v>
      </c>
      <c r="B84" t="s">
        <v>46</v>
      </c>
      <c r="C84" t="s">
        <v>25</v>
      </c>
      <c r="D84" s="24" t="s">
        <v>29</v>
      </c>
      <c r="E84" s="24" t="s">
        <v>29</v>
      </c>
      <c r="F84" s="3" t="s">
        <v>47</v>
      </c>
      <c r="G84" t="s">
        <v>48</v>
      </c>
      <c r="H84" t="s">
        <v>61</v>
      </c>
      <c r="I84" t="s">
        <v>3</v>
      </c>
      <c r="J84" t="s">
        <v>126</v>
      </c>
      <c r="K84" t="s">
        <v>128</v>
      </c>
      <c r="L84" t="s">
        <v>49</v>
      </c>
      <c r="M84" t="s">
        <v>55</v>
      </c>
      <c r="O84" t="s">
        <v>25</v>
      </c>
      <c r="P84" t="s">
        <v>304</v>
      </c>
    </row>
    <row r="85" spans="1:16" x14ac:dyDescent="0.2">
      <c r="A85">
        <v>2024</v>
      </c>
      <c r="B85" t="s">
        <v>46</v>
      </c>
      <c r="C85" t="s">
        <v>25</v>
      </c>
      <c r="D85" s="24" t="s">
        <v>29</v>
      </c>
      <c r="E85" s="24" t="s">
        <v>29</v>
      </c>
      <c r="F85" s="3" t="s">
        <v>50</v>
      </c>
      <c r="G85" t="s">
        <v>35</v>
      </c>
      <c r="H85" t="s">
        <v>61</v>
      </c>
      <c r="I85" t="s">
        <v>3</v>
      </c>
      <c r="J85" t="s">
        <v>126</v>
      </c>
      <c r="K85" t="s">
        <v>128</v>
      </c>
      <c r="L85" t="s">
        <v>49</v>
      </c>
      <c r="M85" t="s">
        <v>55</v>
      </c>
      <c r="O85" t="s">
        <v>25</v>
      </c>
    </row>
    <row r="86" spans="1:16" x14ac:dyDescent="0.2">
      <c r="A86">
        <v>2024</v>
      </c>
      <c r="B86" t="s">
        <v>46</v>
      </c>
      <c r="C86" t="s">
        <v>25</v>
      </c>
      <c r="D86" s="24" t="s">
        <v>29</v>
      </c>
      <c r="E86" s="24" t="s">
        <v>29</v>
      </c>
      <c r="F86" s="3" t="s">
        <v>97</v>
      </c>
      <c r="G86" t="s">
        <v>98</v>
      </c>
      <c r="H86" t="s">
        <v>15</v>
      </c>
      <c r="I86" t="s">
        <v>23</v>
      </c>
      <c r="J86" t="s">
        <v>126</v>
      </c>
      <c r="K86" t="s">
        <v>23</v>
      </c>
      <c r="L86" t="s">
        <v>350</v>
      </c>
      <c r="M86" t="s">
        <v>23</v>
      </c>
      <c r="O86" t="s">
        <v>25</v>
      </c>
    </row>
    <row r="87" spans="1:16" x14ac:dyDescent="0.2">
      <c r="A87">
        <v>2024</v>
      </c>
      <c r="B87" t="s">
        <v>46</v>
      </c>
      <c r="C87" t="s">
        <v>25</v>
      </c>
      <c r="D87" s="24" t="s">
        <v>29</v>
      </c>
      <c r="E87" s="24" t="s">
        <v>29</v>
      </c>
      <c r="F87" s="3" t="s">
        <v>241</v>
      </c>
      <c r="G87" t="s">
        <v>43</v>
      </c>
      <c r="H87" t="s">
        <v>61</v>
      </c>
      <c r="I87" t="s">
        <v>23</v>
      </c>
      <c r="J87" t="s">
        <v>128</v>
      </c>
      <c r="K87" t="s">
        <v>23</v>
      </c>
      <c r="L87" t="s">
        <v>55</v>
      </c>
      <c r="M87" t="s">
        <v>23</v>
      </c>
      <c r="O87" t="s">
        <v>25</v>
      </c>
      <c r="P87" t="s">
        <v>240</v>
      </c>
    </row>
    <row r="88" spans="1:16" x14ac:dyDescent="0.2">
      <c r="A88">
        <v>2024</v>
      </c>
      <c r="B88" t="s">
        <v>46</v>
      </c>
      <c r="C88" t="s">
        <v>25</v>
      </c>
      <c r="D88" s="24" t="s">
        <v>29</v>
      </c>
      <c r="E88" s="24" t="s">
        <v>29</v>
      </c>
      <c r="F88" s="3" t="s">
        <v>242</v>
      </c>
      <c r="G88" t="s">
        <v>119</v>
      </c>
      <c r="H88" t="s">
        <v>129</v>
      </c>
      <c r="I88" t="s">
        <v>23</v>
      </c>
      <c r="J88" t="s">
        <v>146</v>
      </c>
      <c r="K88" t="s">
        <v>128</v>
      </c>
      <c r="L88" t="s">
        <v>150</v>
      </c>
      <c r="M88" t="s">
        <v>23</v>
      </c>
      <c r="O88" t="s">
        <v>25</v>
      </c>
    </row>
    <row r="89" spans="1:16" x14ac:dyDescent="0.2">
      <c r="A89">
        <v>2024</v>
      </c>
      <c r="B89" t="s">
        <v>46</v>
      </c>
      <c r="C89" t="s">
        <v>25</v>
      </c>
      <c r="D89" s="24" t="s">
        <v>29</v>
      </c>
      <c r="E89" s="24" t="s">
        <v>29</v>
      </c>
      <c r="F89" s="3" t="s">
        <v>440</v>
      </c>
      <c r="G89" t="s">
        <v>43</v>
      </c>
      <c r="H89" t="s">
        <v>3</v>
      </c>
      <c r="I89" t="s">
        <v>23</v>
      </c>
      <c r="J89" t="s">
        <v>15</v>
      </c>
      <c r="K89" t="s">
        <v>23</v>
      </c>
      <c r="L89" t="s">
        <v>15</v>
      </c>
      <c r="M89" t="s">
        <v>23</v>
      </c>
      <c r="N89" t="s">
        <v>24</v>
      </c>
      <c r="O89" t="s">
        <v>25</v>
      </c>
      <c r="P89" t="s">
        <v>441</v>
      </c>
    </row>
    <row r="90" spans="1:16" x14ac:dyDescent="0.2">
      <c r="A90">
        <v>2024</v>
      </c>
      <c r="B90" t="s">
        <v>46</v>
      </c>
      <c r="C90" t="s">
        <v>25</v>
      </c>
      <c r="D90" s="24" t="s">
        <v>29</v>
      </c>
      <c r="E90" s="24" t="s">
        <v>29</v>
      </c>
      <c r="F90" s="3" t="s">
        <v>448</v>
      </c>
      <c r="G90" t="s">
        <v>43</v>
      </c>
      <c r="H90" t="s">
        <v>475</v>
      </c>
      <c r="I90" t="s">
        <v>23</v>
      </c>
      <c r="J90" t="s">
        <v>126</v>
      </c>
      <c r="K90" t="s">
        <v>128</v>
      </c>
      <c r="L90" t="s">
        <v>350</v>
      </c>
      <c r="M90" t="s">
        <v>23</v>
      </c>
      <c r="N90" t="s">
        <v>24</v>
      </c>
      <c r="O90" t="s">
        <v>25</v>
      </c>
      <c r="P90" t="s">
        <v>449</v>
      </c>
    </row>
    <row r="91" spans="1:16" x14ac:dyDescent="0.2">
      <c r="A91">
        <v>2024</v>
      </c>
      <c r="B91" t="s">
        <v>46</v>
      </c>
      <c r="C91" t="s">
        <v>25</v>
      </c>
      <c r="D91" s="24" t="s">
        <v>29</v>
      </c>
      <c r="E91" s="24" t="s">
        <v>29</v>
      </c>
      <c r="F91" s="3" t="s">
        <v>548</v>
      </c>
      <c r="G91" t="s">
        <v>547</v>
      </c>
      <c r="H91" t="s">
        <v>15</v>
      </c>
      <c r="I91" t="s">
        <v>23</v>
      </c>
      <c r="J91" t="s">
        <v>15</v>
      </c>
      <c r="K91" t="s">
        <v>23</v>
      </c>
      <c r="L91" t="s">
        <v>15</v>
      </c>
      <c r="M91" t="s">
        <v>23</v>
      </c>
      <c r="N91" t="s">
        <v>24</v>
      </c>
      <c r="O91" t="s">
        <v>25</v>
      </c>
    </row>
    <row r="92" spans="1:16" x14ac:dyDescent="0.2">
      <c r="A92">
        <v>2024</v>
      </c>
      <c r="B92" t="s">
        <v>53</v>
      </c>
      <c r="C92" t="s">
        <v>25</v>
      </c>
      <c r="D92" s="24" t="s">
        <v>29</v>
      </c>
      <c r="E92" s="24" t="s">
        <v>29</v>
      </c>
      <c r="F92" s="3" t="s">
        <v>70</v>
      </c>
      <c r="G92" t="s">
        <v>35</v>
      </c>
      <c r="H92" t="s">
        <v>487</v>
      </c>
      <c r="I92" t="s">
        <v>23</v>
      </c>
      <c r="J92" t="s">
        <v>486</v>
      </c>
      <c r="K92" t="s">
        <v>126</v>
      </c>
      <c r="L92" t="s">
        <v>69</v>
      </c>
      <c r="M92" t="s">
        <v>23</v>
      </c>
      <c r="O92" t="s">
        <v>25</v>
      </c>
    </row>
    <row r="93" spans="1:16" x14ac:dyDescent="0.2">
      <c r="A93">
        <v>2024</v>
      </c>
      <c r="B93" t="s">
        <v>53</v>
      </c>
      <c r="C93" t="s">
        <v>25</v>
      </c>
      <c r="D93" s="24" t="s">
        <v>29</v>
      </c>
      <c r="E93" s="24" t="s">
        <v>29</v>
      </c>
      <c r="F93" s="3" t="s">
        <v>142</v>
      </c>
      <c r="G93" t="s">
        <v>35</v>
      </c>
      <c r="H93" t="s">
        <v>487</v>
      </c>
      <c r="I93" t="s">
        <v>23</v>
      </c>
      <c r="J93" t="s">
        <v>486</v>
      </c>
      <c r="K93" t="s">
        <v>23</v>
      </c>
      <c r="L93" t="s">
        <v>151</v>
      </c>
      <c r="M93" t="s">
        <v>23</v>
      </c>
      <c r="O93" t="s">
        <v>25</v>
      </c>
    </row>
    <row r="94" spans="1:16" x14ac:dyDescent="0.2">
      <c r="A94">
        <v>2024</v>
      </c>
      <c r="B94" t="s">
        <v>53</v>
      </c>
      <c r="C94" t="s">
        <v>25</v>
      </c>
      <c r="D94" s="24" t="s">
        <v>29</v>
      </c>
      <c r="E94" s="24" t="s">
        <v>29</v>
      </c>
      <c r="F94" s="3" t="s">
        <v>396</v>
      </c>
      <c r="G94" t="s">
        <v>317</v>
      </c>
      <c r="H94" t="s">
        <v>129</v>
      </c>
      <c r="I94" t="s">
        <v>23</v>
      </c>
      <c r="J94" t="s">
        <v>126</v>
      </c>
      <c r="K94" t="s">
        <v>128</v>
      </c>
      <c r="L94" t="s">
        <v>49</v>
      </c>
      <c r="M94" t="s">
        <v>23</v>
      </c>
      <c r="N94" t="s">
        <v>24</v>
      </c>
      <c r="O94" t="s">
        <v>25</v>
      </c>
      <c r="P94" t="s">
        <v>397</v>
      </c>
    </row>
    <row r="95" spans="1:16" x14ac:dyDescent="0.2">
      <c r="A95">
        <v>2024</v>
      </c>
      <c r="B95" t="s">
        <v>53</v>
      </c>
      <c r="C95" t="s">
        <v>25</v>
      </c>
      <c r="D95" s="24" t="s">
        <v>29</v>
      </c>
      <c r="E95" s="24" t="s">
        <v>29</v>
      </c>
      <c r="F95" s="3" t="s">
        <v>120</v>
      </c>
      <c r="G95" t="s">
        <v>68</v>
      </c>
      <c r="H95" t="s">
        <v>129</v>
      </c>
      <c r="I95" t="s">
        <v>23</v>
      </c>
      <c r="J95" t="s">
        <v>133</v>
      </c>
      <c r="K95" t="s">
        <v>23</v>
      </c>
      <c r="L95" t="s">
        <v>151</v>
      </c>
      <c r="M95" t="s">
        <v>23</v>
      </c>
      <c r="O95" t="s">
        <v>25</v>
      </c>
    </row>
    <row r="96" spans="1:16" x14ac:dyDescent="0.2">
      <c r="A96">
        <v>2024</v>
      </c>
      <c r="B96" t="s">
        <v>37</v>
      </c>
      <c r="C96" t="s">
        <v>25</v>
      </c>
      <c r="D96" s="24" t="s">
        <v>29</v>
      </c>
      <c r="E96" s="24" t="s">
        <v>29</v>
      </c>
      <c r="F96" s="3" t="s">
        <v>429</v>
      </c>
      <c r="G96" t="s">
        <v>76</v>
      </c>
      <c r="H96" t="s">
        <v>3</v>
      </c>
      <c r="I96" t="s">
        <v>23</v>
      </c>
      <c r="J96" t="s">
        <v>126</v>
      </c>
      <c r="K96" t="s">
        <v>23</v>
      </c>
      <c r="L96" t="s">
        <v>350</v>
      </c>
      <c r="M96" t="s">
        <v>23</v>
      </c>
      <c r="O96" t="s">
        <v>25</v>
      </c>
    </row>
    <row r="97" spans="1:16" x14ac:dyDescent="0.2">
      <c r="A97">
        <v>2024</v>
      </c>
      <c r="B97" t="s">
        <v>37</v>
      </c>
      <c r="C97" t="s">
        <v>25</v>
      </c>
      <c r="D97" s="24" t="s">
        <v>29</v>
      </c>
      <c r="E97" s="24" t="s">
        <v>29</v>
      </c>
      <c r="F97" s="3" t="s">
        <v>457</v>
      </c>
      <c r="G97" t="s">
        <v>75</v>
      </c>
      <c r="H97" t="s">
        <v>475</v>
      </c>
      <c r="I97" t="s">
        <v>23</v>
      </c>
      <c r="J97" t="s">
        <v>126</v>
      </c>
      <c r="K97" t="s">
        <v>23</v>
      </c>
      <c r="L97" t="s">
        <v>350</v>
      </c>
      <c r="M97" t="s">
        <v>23</v>
      </c>
      <c r="O97" t="s">
        <v>24</v>
      </c>
    </row>
    <row r="98" spans="1:16" x14ac:dyDescent="0.2">
      <c r="A98">
        <v>2024</v>
      </c>
      <c r="B98" t="s">
        <v>39</v>
      </c>
      <c r="C98" t="s">
        <v>25</v>
      </c>
      <c r="D98" s="24" t="s">
        <v>29</v>
      </c>
      <c r="E98" s="24" t="s">
        <v>29</v>
      </c>
      <c r="F98" s="3" t="s">
        <v>67</v>
      </c>
      <c r="G98" t="s">
        <v>68</v>
      </c>
      <c r="H98" t="s">
        <v>487</v>
      </c>
      <c r="I98" t="s">
        <v>23</v>
      </c>
      <c r="J98" t="s">
        <v>486</v>
      </c>
      <c r="K98" t="s">
        <v>126</v>
      </c>
      <c r="L98" t="s">
        <v>69</v>
      </c>
      <c r="M98" t="s">
        <v>23</v>
      </c>
      <c r="O98" t="s">
        <v>25</v>
      </c>
    </row>
    <row r="99" spans="1:16" x14ac:dyDescent="0.2">
      <c r="A99">
        <v>2024</v>
      </c>
      <c r="B99" t="s">
        <v>38</v>
      </c>
      <c r="C99" t="s">
        <v>25</v>
      </c>
      <c r="D99" s="24" t="s">
        <v>29</v>
      </c>
      <c r="E99" s="24" t="s">
        <v>29</v>
      </c>
      <c r="F99" s="3" t="s">
        <v>52</v>
      </c>
      <c r="G99" t="s">
        <v>30</v>
      </c>
      <c r="H99" t="s">
        <v>473</v>
      </c>
      <c r="I99" t="s">
        <v>23</v>
      </c>
      <c r="J99" t="s">
        <v>134</v>
      </c>
      <c r="K99" t="s">
        <v>23</v>
      </c>
      <c r="L99" t="s">
        <v>49</v>
      </c>
      <c r="M99" t="s">
        <v>23</v>
      </c>
      <c r="O99" t="s">
        <v>25</v>
      </c>
    </row>
    <row r="100" spans="1:16" x14ac:dyDescent="0.2">
      <c r="A100">
        <v>2024</v>
      </c>
      <c r="B100" t="s">
        <v>38</v>
      </c>
      <c r="C100" t="s">
        <v>25</v>
      </c>
      <c r="D100" s="24" t="s">
        <v>29</v>
      </c>
      <c r="E100" s="24" t="s">
        <v>29</v>
      </c>
      <c r="F100" s="3" t="s">
        <v>225</v>
      </c>
      <c r="G100" t="s">
        <v>12</v>
      </c>
      <c r="H100" t="s">
        <v>61</v>
      </c>
      <c r="I100" t="s">
        <v>23</v>
      </c>
      <c r="J100" t="s">
        <v>146</v>
      </c>
      <c r="K100" t="s">
        <v>23</v>
      </c>
      <c r="L100" t="s">
        <v>150</v>
      </c>
      <c r="M100" t="s">
        <v>23</v>
      </c>
      <c r="O100" t="s">
        <v>25</v>
      </c>
      <c r="P100" s="3" t="s">
        <v>226</v>
      </c>
    </row>
    <row r="101" spans="1:16" x14ac:dyDescent="0.2">
      <c r="A101">
        <v>2024</v>
      </c>
      <c r="B101" t="s">
        <v>38</v>
      </c>
      <c r="C101" t="s">
        <v>24</v>
      </c>
      <c r="D101" s="24">
        <v>45597</v>
      </c>
      <c r="E101" s="24">
        <v>45657</v>
      </c>
      <c r="F101" s="3" t="s">
        <v>296</v>
      </c>
      <c r="G101" t="s">
        <v>35</v>
      </c>
      <c r="H101" t="s">
        <v>137</v>
      </c>
      <c r="I101" t="s">
        <v>23</v>
      </c>
      <c r="J101" t="s">
        <v>138</v>
      </c>
      <c r="K101" t="s">
        <v>23</v>
      </c>
      <c r="L101" t="s">
        <v>267</v>
      </c>
      <c r="M101" t="s">
        <v>23</v>
      </c>
      <c r="O101" t="s">
        <v>25</v>
      </c>
    </row>
    <row r="102" spans="1:16" x14ac:dyDescent="0.2">
      <c r="A102">
        <v>2024</v>
      </c>
      <c r="B102" t="s">
        <v>38</v>
      </c>
      <c r="C102" t="s">
        <v>25</v>
      </c>
      <c r="D102" s="24" t="s">
        <v>29</v>
      </c>
      <c r="E102" s="24" t="s">
        <v>29</v>
      </c>
      <c r="F102" s="3" t="s">
        <v>549</v>
      </c>
      <c r="G102" t="s">
        <v>317</v>
      </c>
      <c r="H102" t="s">
        <v>136</v>
      </c>
      <c r="I102" t="s">
        <v>23</v>
      </c>
      <c r="J102" t="s">
        <v>139</v>
      </c>
      <c r="K102" t="s">
        <v>23</v>
      </c>
      <c r="L102" t="s">
        <v>69</v>
      </c>
      <c r="M102" t="s">
        <v>23</v>
      </c>
      <c r="O102" t="s">
        <v>25</v>
      </c>
    </row>
    <row r="103" spans="1:16" x14ac:dyDescent="0.2">
      <c r="A103">
        <v>2024</v>
      </c>
      <c r="B103" t="s">
        <v>38</v>
      </c>
      <c r="C103" t="s">
        <v>24</v>
      </c>
      <c r="D103" s="24">
        <v>45597</v>
      </c>
      <c r="E103" s="24">
        <v>45657</v>
      </c>
      <c r="F103" s="3" t="s">
        <v>176</v>
      </c>
      <c r="G103" t="s">
        <v>119</v>
      </c>
      <c r="H103" t="s">
        <v>137</v>
      </c>
      <c r="I103" t="s">
        <v>23</v>
      </c>
      <c r="J103" t="s">
        <v>133</v>
      </c>
      <c r="K103" t="s">
        <v>138</v>
      </c>
      <c r="L103" t="s">
        <v>202</v>
      </c>
      <c r="M103" t="s">
        <v>23</v>
      </c>
      <c r="O103" t="s">
        <v>25</v>
      </c>
    </row>
    <row r="104" spans="1:16" x14ac:dyDescent="0.2">
      <c r="A104">
        <v>2024</v>
      </c>
      <c r="B104" t="s">
        <v>92</v>
      </c>
      <c r="C104" t="s">
        <v>25</v>
      </c>
      <c r="D104" s="24" t="s">
        <v>29</v>
      </c>
      <c r="E104" s="24" t="s">
        <v>29</v>
      </c>
      <c r="F104" s="3" t="s">
        <v>228</v>
      </c>
      <c r="G104" t="s">
        <v>12</v>
      </c>
      <c r="H104" t="s">
        <v>61</v>
      </c>
      <c r="I104" t="s">
        <v>23</v>
      </c>
      <c r="J104" t="s">
        <v>146</v>
      </c>
      <c r="K104" t="s">
        <v>23</v>
      </c>
      <c r="L104" t="s">
        <v>150</v>
      </c>
      <c r="M104" t="s">
        <v>23</v>
      </c>
      <c r="O104" t="s">
        <v>25</v>
      </c>
    </row>
    <row r="105" spans="1:16" x14ac:dyDescent="0.2">
      <c r="A105">
        <v>2024</v>
      </c>
      <c r="B105" t="s">
        <v>92</v>
      </c>
      <c r="C105" t="s">
        <v>25</v>
      </c>
      <c r="D105" s="24" t="s">
        <v>29</v>
      </c>
      <c r="E105" s="24" t="s">
        <v>29</v>
      </c>
      <c r="F105" s="3" t="s">
        <v>256</v>
      </c>
      <c r="G105" t="s">
        <v>35</v>
      </c>
      <c r="H105" t="s">
        <v>137</v>
      </c>
      <c r="I105" t="s">
        <v>23</v>
      </c>
      <c r="J105" t="s">
        <v>138</v>
      </c>
      <c r="K105" t="s">
        <v>23</v>
      </c>
      <c r="L105" t="s">
        <v>350</v>
      </c>
      <c r="M105" t="s">
        <v>23</v>
      </c>
      <c r="O105" t="s">
        <v>25</v>
      </c>
      <c r="P105" t="s">
        <v>347</v>
      </c>
    </row>
    <row r="106" spans="1:16" x14ac:dyDescent="0.2">
      <c r="A106">
        <v>2024</v>
      </c>
      <c r="B106" t="s">
        <v>92</v>
      </c>
      <c r="C106" t="s">
        <v>25</v>
      </c>
      <c r="D106" s="24" t="s">
        <v>29</v>
      </c>
      <c r="E106" s="24" t="s">
        <v>29</v>
      </c>
      <c r="F106" s="3" t="s">
        <v>554</v>
      </c>
      <c r="G106" t="s">
        <v>261</v>
      </c>
      <c r="H106" t="s">
        <v>61</v>
      </c>
      <c r="I106" t="s">
        <v>23</v>
      </c>
      <c r="J106" t="s">
        <v>126</v>
      </c>
      <c r="K106" t="s">
        <v>23</v>
      </c>
      <c r="L106" t="s">
        <v>69</v>
      </c>
      <c r="M106" t="s">
        <v>23</v>
      </c>
      <c r="N106" t="s">
        <v>15</v>
      </c>
      <c r="O106" t="s">
        <v>25</v>
      </c>
      <c r="P106" t="s">
        <v>555</v>
      </c>
    </row>
    <row r="107" spans="1:16" x14ac:dyDescent="0.2">
      <c r="A107">
        <v>2024</v>
      </c>
      <c r="B107" t="s">
        <v>15</v>
      </c>
      <c r="C107" t="s">
        <v>25</v>
      </c>
      <c r="D107" s="24" t="s">
        <v>29</v>
      </c>
      <c r="E107" s="24" t="s">
        <v>29</v>
      </c>
      <c r="F107" s="3" t="s">
        <v>318</v>
      </c>
      <c r="G107" t="s">
        <v>317</v>
      </c>
      <c r="H107" t="s">
        <v>129</v>
      </c>
      <c r="I107" t="s">
        <v>23</v>
      </c>
      <c r="J107" t="s">
        <v>15</v>
      </c>
      <c r="K107" t="s">
        <v>23</v>
      </c>
      <c r="L107" t="s">
        <v>15</v>
      </c>
      <c r="M107" t="s">
        <v>23</v>
      </c>
      <c r="O107" t="s">
        <v>24</v>
      </c>
      <c r="P107" t="s">
        <v>319</v>
      </c>
    </row>
    <row r="108" spans="1:16" x14ac:dyDescent="0.2">
      <c r="A108">
        <v>2025</v>
      </c>
      <c r="B108" t="s">
        <v>40</v>
      </c>
      <c r="C108" t="s">
        <v>25</v>
      </c>
      <c r="D108" s="24" t="s">
        <v>29</v>
      </c>
      <c r="E108" s="24" t="s">
        <v>29</v>
      </c>
      <c r="F108" s="3" t="s">
        <v>247</v>
      </c>
      <c r="G108" t="s">
        <v>35</v>
      </c>
      <c r="H108" t="s">
        <v>487</v>
      </c>
      <c r="I108" t="s">
        <v>23</v>
      </c>
      <c r="J108" t="s">
        <v>486</v>
      </c>
      <c r="K108" t="s">
        <v>23</v>
      </c>
      <c r="L108" t="s">
        <v>69</v>
      </c>
      <c r="M108" t="s">
        <v>23</v>
      </c>
      <c r="O108" t="s">
        <v>25</v>
      </c>
      <c r="P108" t="s">
        <v>248</v>
      </c>
    </row>
    <row r="109" spans="1:16" x14ac:dyDescent="0.2">
      <c r="A109">
        <v>2025</v>
      </c>
      <c r="B109" t="s">
        <v>40</v>
      </c>
      <c r="C109" t="s">
        <v>25</v>
      </c>
      <c r="D109" s="24" t="s">
        <v>29</v>
      </c>
      <c r="E109" s="24" t="s">
        <v>29</v>
      </c>
      <c r="F109" s="3" t="s">
        <v>257</v>
      </c>
      <c r="G109" t="s">
        <v>12</v>
      </c>
      <c r="H109" t="s">
        <v>61</v>
      </c>
      <c r="I109" t="s">
        <v>23</v>
      </c>
      <c r="J109" t="s">
        <v>146</v>
      </c>
      <c r="K109" t="s">
        <v>23</v>
      </c>
      <c r="L109" t="s">
        <v>150</v>
      </c>
      <c r="M109" t="s">
        <v>23</v>
      </c>
      <c r="O109" t="s">
        <v>24</v>
      </c>
      <c r="P109" t="s">
        <v>258</v>
      </c>
    </row>
    <row r="110" spans="1:16" x14ac:dyDescent="0.2">
      <c r="A110">
        <v>2025</v>
      </c>
      <c r="B110" t="s">
        <v>40</v>
      </c>
      <c r="C110" t="s">
        <v>24</v>
      </c>
      <c r="D110" s="24">
        <v>45658</v>
      </c>
      <c r="E110" s="24">
        <v>46022</v>
      </c>
      <c r="F110" s="3" t="s">
        <v>570</v>
      </c>
      <c r="G110" t="s">
        <v>264</v>
      </c>
      <c r="H110" t="s">
        <v>137</v>
      </c>
      <c r="I110" t="s">
        <v>23</v>
      </c>
      <c r="J110" t="s">
        <v>138</v>
      </c>
      <c r="K110" t="s">
        <v>23</v>
      </c>
      <c r="L110" t="s">
        <v>267</v>
      </c>
      <c r="M110" t="s">
        <v>23</v>
      </c>
      <c r="O110" t="s">
        <v>25</v>
      </c>
    </row>
    <row r="111" spans="1:16" x14ac:dyDescent="0.2">
      <c r="A111">
        <v>2025</v>
      </c>
      <c r="B111" t="s">
        <v>40</v>
      </c>
      <c r="C111" t="s">
        <v>24</v>
      </c>
      <c r="D111" s="24">
        <v>45658</v>
      </c>
      <c r="E111" s="24">
        <v>45716</v>
      </c>
      <c r="F111" s="3" t="s">
        <v>296</v>
      </c>
      <c r="G111" t="s">
        <v>35</v>
      </c>
      <c r="H111" t="s">
        <v>137</v>
      </c>
      <c r="I111" t="s">
        <v>23</v>
      </c>
      <c r="J111" t="s">
        <v>138</v>
      </c>
      <c r="K111" t="s">
        <v>23</v>
      </c>
      <c r="L111" t="s">
        <v>267</v>
      </c>
      <c r="M111" t="s">
        <v>23</v>
      </c>
      <c r="O111" t="s">
        <v>25</v>
      </c>
    </row>
    <row r="112" spans="1:16" x14ac:dyDescent="0.2">
      <c r="A112" s="5">
        <v>2025</v>
      </c>
      <c r="B112" s="5" t="s">
        <v>40</v>
      </c>
      <c r="C112" s="5" t="s">
        <v>24</v>
      </c>
      <c r="D112" s="25">
        <v>45658</v>
      </c>
      <c r="E112" s="25">
        <v>45808</v>
      </c>
      <c r="F112" s="3" t="s">
        <v>331</v>
      </c>
      <c r="G112" s="5" t="s">
        <v>43</v>
      </c>
      <c r="H112" s="5" t="s">
        <v>137</v>
      </c>
      <c r="I112" s="5" t="s">
        <v>23</v>
      </c>
      <c r="J112" s="5" t="s">
        <v>138</v>
      </c>
      <c r="K112" s="5" t="s">
        <v>133</v>
      </c>
      <c r="L112" s="5" t="s">
        <v>267</v>
      </c>
      <c r="M112" s="5" t="s">
        <v>23</v>
      </c>
      <c r="N112" s="5"/>
      <c r="O112" s="5" t="s">
        <v>25</v>
      </c>
      <c r="P112" s="5" t="s">
        <v>332</v>
      </c>
    </row>
    <row r="113" spans="1:16" x14ac:dyDescent="0.2">
      <c r="A113">
        <v>2025</v>
      </c>
      <c r="B113" t="s">
        <v>40</v>
      </c>
      <c r="C113" t="s">
        <v>24</v>
      </c>
      <c r="D113" s="24">
        <v>45658</v>
      </c>
      <c r="E113" s="24">
        <v>45808</v>
      </c>
      <c r="F113" s="3" t="s">
        <v>345</v>
      </c>
      <c r="G113" t="s">
        <v>43</v>
      </c>
      <c r="H113" t="s">
        <v>487</v>
      </c>
      <c r="I113" t="s">
        <v>23</v>
      </c>
      <c r="J113" t="s">
        <v>486</v>
      </c>
      <c r="K113" t="s">
        <v>23</v>
      </c>
      <c r="L113" t="s">
        <v>151</v>
      </c>
      <c r="M113" t="s">
        <v>23</v>
      </c>
      <c r="N113" t="s">
        <v>24</v>
      </c>
      <c r="O113" t="s">
        <v>25</v>
      </c>
    </row>
    <row r="114" spans="1:16" x14ac:dyDescent="0.2">
      <c r="A114">
        <v>2025</v>
      </c>
      <c r="B114" t="s">
        <v>40</v>
      </c>
      <c r="C114" t="s">
        <v>24</v>
      </c>
      <c r="D114" s="24">
        <v>45658</v>
      </c>
      <c r="E114" s="24">
        <v>46022</v>
      </c>
      <c r="F114" s="3" t="s">
        <v>328</v>
      </c>
      <c r="G114" t="s">
        <v>329</v>
      </c>
      <c r="H114" t="s">
        <v>137</v>
      </c>
      <c r="I114" t="s">
        <v>23</v>
      </c>
      <c r="J114" t="s">
        <v>138</v>
      </c>
      <c r="K114" t="s">
        <v>23</v>
      </c>
      <c r="L114" t="s">
        <v>267</v>
      </c>
      <c r="M114" t="s">
        <v>23</v>
      </c>
      <c r="O114" t="s">
        <v>25</v>
      </c>
      <c r="P114" t="s">
        <v>330</v>
      </c>
    </row>
    <row r="115" spans="1:16" x14ac:dyDescent="0.2">
      <c r="A115" s="5">
        <v>2025</v>
      </c>
      <c r="B115" s="5" t="s">
        <v>40</v>
      </c>
      <c r="C115" s="5" t="s">
        <v>24</v>
      </c>
      <c r="D115" s="25">
        <v>45658</v>
      </c>
      <c r="E115" s="25">
        <v>46022</v>
      </c>
      <c r="F115" s="3" t="s">
        <v>386</v>
      </c>
      <c r="G115" s="5" t="s">
        <v>317</v>
      </c>
      <c r="H115" s="5" t="s">
        <v>137</v>
      </c>
      <c r="I115" s="5" t="s">
        <v>23</v>
      </c>
      <c r="J115" s="5" t="s">
        <v>133</v>
      </c>
      <c r="K115" s="5" t="s">
        <v>23</v>
      </c>
      <c r="L115" s="5" t="s">
        <v>350</v>
      </c>
      <c r="M115" s="5" t="s">
        <v>23</v>
      </c>
      <c r="N115" s="5" t="s">
        <v>25</v>
      </c>
      <c r="O115" s="5" t="s">
        <v>25</v>
      </c>
      <c r="P115" s="5" t="s">
        <v>387</v>
      </c>
    </row>
    <row r="116" spans="1:16" x14ac:dyDescent="0.2">
      <c r="A116">
        <v>2025</v>
      </c>
      <c r="B116" t="s">
        <v>40</v>
      </c>
      <c r="C116" t="s">
        <v>24</v>
      </c>
      <c r="D116" s="24">
        <v>45658</v>
      </c>
      <c r="E116" s="24">
        <v>46022</v>
      </c>
      <c r="F116" s="3" t="s">
        <v>122</v>
      </c>
      <c r="G116" t="s">
        <v>121</v>
      </c>
      <c r="H116" t="s">
        <v>473</v>
      </c>
      <c r="I116" t="s">
        <v>23</v>
      </c>
      <c r="J116" t="s">
        <v>134</v>
      </c>
      <c r="K116" t="s">
        <v>23</v>
      </c>
      <c r="L116" t="s">
        <v>49</v>
      </c>
      <c r="M116" t="s">
        <v>23</v>
      </c>
      <c r="O116" t="s">
        <v>25</v>
      </c>
      <c r="P116" t="s">
        <v>394</v>
      </c>
    </row>
    <row r="117" spans="1:16" x14ac:dyDescent="0.2">
      <c r="A117">
        <v>2025</v>
      </c>
      <c r="B117" t="s">
        <v>40</v>
      </c>
      <c r="C117" t="s">
        <v>25</v>
      </c>
      <c r="D117" s="24" t="s">
        <v>29</v>
      </c>
      <c r="E117" s="24" t="s">
        <v>29</v>
      </c>
      <c r="F117" s="3" t="s">
        <v>406</v>
      </c>
      <c r="G117" t="s">
        <v>77</v>
      </c>
      <c r="H117" t="s">
        <v>475</v>
      </c>
      <c r="I117" t="s">
        <v>23</v>
      </c>
      <c r="J117" t="s">
        <v>126</v>
      </c>
      <c r="K117" t="s">
        <v>23</v>
      </c>
      <c r="L117" t="s">
        <v>350</v>
      </c>
      <c r="M117" t="s">
        <v>23</v>
      </c>
      <c r="N117" t="s">
        <v>24</v>
      </c>
      <c r="O117" t="s">
        <v>25</v>
      </c>
    </row>
    <row r="118" spans="1:16" x14ac:dyDescent="0.2">
      <c r="A118">
        <v>2025</v>
      </c>
      <c r="B118" t="s">
        <v>40</v>
      </c>
      <c r="C118" t="s">
        <v>24</v>
      </c>
      <c r="D118" s="24">
        <v>45658</v>
      </c>
      <c r="E118" s="24">
        <v>46022</v>
      </c>
      <c r="F118" s="3" t="s">
        <v>434</v>
      </c>
      <c r="G118" t="s">
        <v>35</v>
      </c>
      <c r="H118" t="s">
        <v>129</v>
      </c>
      <c r="I118" t="s">
        <v>23</v>
      </c>
      <c r="J118" t="s">
        <v>133</v>
      </c>
      <c r="K118" t="s">
        <v>23</v>
      </c>
      <c r="L118" t="s">
        <v>45</v>
      </c>
      <c r="M118" t="s">
        <v>23</v>
      </c>
      <c r="N118" t="s">
        <v>15</v>
      </c>
      <c r="O118" t="s">
        <v>25</v>
      </c>
      <c r="P118" t="s">
        <v>435</v>
      </c>
    </row>
    <row r="119" spans="1:16" x14ac:dyDescent="0.2">
      <c r="A119">
        <v>2025</v>
      </c>
      <c r="B119" t="s">
        <v>57</v>
      </c>
      <c r="C119" t="s">
        <v>24</v>
      </c>
      <c r="D119" s="24">
        <v>45689</v>
      </c>
      <c r="E119" s="24">
        <v>45747</v>
      </c>
      <c r="F119" s="3" t="s">
        <v>260</v>
      </c>
      <c r="G119" t="s">
        <v>261</v>
      </c>
      <c r="H119" t="s">
        <v>137</v>
      </c>
      <c r="I119" t="s">
        <v>23</v>
      </c>
      <c r="J119" t="s">
        <v>138</v>
      </c>
      <c r="K119" t="s">
        <v>23</v>
      </c>
      <c r="L119" t="s">
        <v>267</v>
      </c>
      <c r="M119" t="s">
        <v>23</v>
      </c>
      <c r="O119" t="s">
        <v>25</v>
      </c>
    </row>
    <row r="120" spans="1:16" x14ac:dyDescent="0.2">
      <c r="A120">
        <v>2025</v>
      </c>
      <c r="B120" t="s">
        <v>63</v>
      </c>
      <c r="C120" t="s">
        <v>25</v>
      </c>
      <c r="D120" s="24" t="s">
        <v>29</v>
      </c>
      <c r="E120" s="24" t="s">
        <v>29</v>
      </c>
      <c r="F120" s="3" t="s">
        <v>278</v>
      </c>
      <c r="G120" t="s">
        <v>68</v>
      </c>
      <c r="H120" t="s">
        <v>61</v>
      </c>
      <c r="I120" t="s">
        <v>23</v>
      </c>
      <c r="J120" t="s">
        <v>139</v>
      </c>
      <c r="K120" t="s">
        <v>23</v>
      </c>
      <c r="L120" t="s">
        <v>69</v>
      </c>
      <c r="M120" t="s">
        <v>23</v>
      </c>
      <c r="O120" t="s">
        <v>24</v>
      </c>
      <c r="P120" t="s">
        <v>279</v>
      </c>
    </row>
    <row r="121" spans="1:16" x14ac:dyDescent="0.2">
      <c r="A121">
        <v>2025</v>
      </c>
      <c r="B121" t="s">
        <v>63</v>
      </c>
      <c r="C121" t="s">
        <v>24</v>
      </c>
      <c r="D121" s="24" t="s">
        <v>63</v>
      </c>
      <c r="E121" s="24" t="s">
        <v>42</v>
      </c>
      <c r="F121" s="3" t="s">
        <v>325</v>
      </c>
      <c r="G121" t="s">
        <v>35</v>
      </c>
      <c r="H121" t="s">
        <v>129</v>
      </c>
      <c r="I121" t="s">
        <v>3</v>
      </c>
      <c r="J121" t="s">
        <v>126</v>
      </c>
      <c r="K121" t="s">
        <v>128</v>
      </c>
      <c r="L121" t="s">
        <v>49</v>
      </c>
      <c r="M121" t="s">
        <v>23</v>
      </c>
      <c r="O121" t="s">
        <v>24</v>
      </c>
      <c r="P121" t="s">
        <v>326</v>
      </c>
    </row>
    <row r="122" spans="1:16" x14ac:dyDescent="0.2">
      <c r="A122">
        <v>2025</v>
      </c>
      <c r="B122" t="s">
        <v>41</v>
      </c>
      <c r="C122" t="s">
        <v>25</v>
      </c>
      <c r="D122" s="24" t="s">
        <v>29</v>
      </c>
      <c r="E122" s="24" t="s">
        <v>29</v>
      </c>
      <c r="F122" s="3" t="s">
        <v>436</v>
      </c>
      <c r="G122" t="s">
        <v>116</v>
      </c>
      <c r="H122" t="s">
        <v>61</v>
      </c>
      <c r="I122" t="s">
        <v>23</v>
      </c>
      <c r="J122" t="s">
        <v>126</v>
      </c>
      <c r="K122" t="s">
        <v>23</v>
      </c>
      <c r="L122" t="s">
        <v>437</v>
      </c>
      <c r="M122" t="s">
        <v>23</v>
      </c>
      <c r="N122" t="s">
        <v>15</v>
      </c>
      <c r="O122" t="s">
        <v>25</v>
      </c>
    </row>
    <row r="123" spans="1:16" x14ac:dyDescent="0.2">
      <c r="A123">
        <v>2025</v>
      </c>
      <c r="B123" t="s">
        <v>42</v>
      </c>
      <c r="C123" t="s">
        <v>25</v>
      </c>
      <c r="D123" s="24" t="s">
        <v>29</v>
      </c>
      <c r="E123" s="24" t="s">
        <v>29</v>
      </c>
      <c r="F123" s="3" t="s">
        <v>323</v>
      </c>
      <c r="G123" t="s">
        <v>324</v>
      </c>
      <c r="H123" t="s">
        <v>137</v>
      </c>
      <c r="I123" t="s">
        <v>23</v>
      </c>
      <c r="J123" t="s">
        <v>138</v>
      </c>
      <c r="K123" t="s">
        <v>23</v>
      </c>
      <c r="L123" t="s">
        <v>267</v>
      </c>
      <c r="M123" t="s">
        <v>23</v>
      </c>
      <c r="O123" t="s">
        <v>25</v>
      </c>
    </row>
    <row r="124" spans="1:16" x14ac:dyDescent="0.2">
      <c r="A124">
        <v>2025</v>
      </c>
      <c r="B124" t="s">
        <v>42</v>
      </c>
      <c r="C124" t="s">
        <v>25</v>
      </c>
      <c r="D124" s="24" t="s">
        <v>29</v>
      </c>
      <c r="E124" s="24" t="s">
        <v>29</v>
      </c>
      <c r="F124" s="3" t="s">
        <v>483</v>
      </c>
      <c r="G124" t="s">
        <v>98</v>
      </c>
      <c r="H124" t="s">
        <v>82</v>
      </c>
      <c r="I124" t="s">
        <v>23</v>
      </c>
      <c r="J124" t="s">
        <v>126</v>
      </c>
      <c r="K124" t="s">
        <v>23</v>
      </c>
      <c r="L124" t="s">
        <v>350</v>
      </c>
      <c r="M124" t="s">
        <v>23</v>
      </c>
      <c r="N124" t="s">
        <v>24</v>
      </c>
      <c r="O124" t="s">
        <v>25</v>
      </c>
    </row>
    <row r="125" spans="1:16" x14ac:dyDescent="0.2">
      <c r="A125">
        <v>2025</v>
      </c>
      <c r="B125" t="s">
        <v>64</v>
      </c>
      <c r="C125" t="s">
        <v>25</v>
      </c>
      <c r="D125" s="24" t="s">
        <v>29</v>
      </c>
      <c r="E125" s="24" t="s">
        <v>29</v>
      </c>
      <c r="F125" s="3" t="s">
        <v>484</v>
      </c>
      <c r="G125" t="s">
        <v>35</v>
      </c>
      <c r="H125" t="s">
        <v>137</v>
      </c>
      <c r="I125" t="s">
        <v>23</v>
      </c>
      <c r="J125" t="s">
        <v>138</v>
      </c>
      <c r="K125" t="s">
        <v>23</v>
      </c>
      <c r="L125" t="s">
        <v>350</v>
      </c>
      <c r="M125" t="s">
        <v>23</v>
      </c>
      <c r="N125" t="s">
        <v>24</v>
      </c>
      <c r="O125" t="s">
        <v>25</v>
      </c>
      <c r="P125" t="s">
        <v>574</v>
      </c>
    </row>
    <row r="126" spans="1:16" x14ac:dyDescent="0.2">
      <c r="A126">
        <v>2025</v>
      </c>
      <c r="B126" t="s">
        <v>53</v>
      </c>
      <c r="C126" t="s">
        <v>25</v>
      </c>
      <c r="D126" s="24" t="s">
        <v>29</v>
      </c>
      <c r="E126" s="24" t="s">
        <v>29</v>
      </c>
      <c r="F126" s="3" t="s">
        <v>432</v>
      </c>
      <c r="G126" t="s">
        <v>433</v>
      </c>
      <c r="H126" t="s">
        <v>61</v>
      </c>
      <c r="I126" t="s">
        <v>23</v>
      </c>
      <c r="J126" t="s">
        <v>126</v>
      </c>
      <c r="K126" t="s">
        <v>23</v>
      </c>
      <c r="L126" t="s">
        <v>150</v>
      </c>
      <c r="M126" t="s">
        <v>23</v>
      </c>
      <c r="N126" t="s">
        <v>15</v>
      </c>
      <c r="O126" t="s">
        <v>25</v>
      </c>
    </row>
    <row r="127" spans="1:16" x14ac:dyDescent="0.2">
      <c r="A127">
        <v>2025</v>
      </c>
      <c r="B127" t="s">
        <v>53</v>
      </c>
      <c r="C127" t="s">
        <v>25</v>
      </c>
      <c r="D127" s="24" t="s">
        <v>29</v>
      </c>
      <c r="E127" s="24" t="s">
        <v>29</v>
      </c>
      <c r="F127" s="3" t="s">
        <v>438</v>
      </c>
      <c r="G127" t="s">
        <v>288</v>
      </c>
      <c r="H127" t="s">
        <v>129</v>
      </c>
      <c r="I127" t="s">
        <v>23</v>
      </c>
      <c r="J127" t="s">
        <v>132</v>
      </c>
      <c r="K127" t="s">
        <v>23</v>
      </c>
      <c r="L127" t="s">
        <v>151</v>
      </c>
      <c r="M127" t="s">
        <v>23</v>
      </c>
      <c r="N127" t="s">
        <v>24</v>
      </c>
      <c r="O127" t="s">
        <v>25</v>
      </c>
      <c r="P127" t="s">
        <v>439</v>
      </c>
    </row>
    <row r="128" spans="1:16" x14ac:dyDescent="0.2">
      <c r="A128">
        <v>2025</v>
      </c>
      <c r="B128" t="s">
        <v>53</v>
      </c>
      <c r="C128" t="s">
        <v>25</v>
      </c>
      <c r="D128" s="24" t="s">
        <v>29</v>
      </c>
      <c r="E128" s="24" t="s">
        <v>29</v>
      </c>
      <c r="F128" s="3" t="s">
        <v>462</v>
      </c>
      <c r="G128" t="s">
        <v>317</v>
      </c>
      <c r="H128" t="s">
        <v>15</v>
      </c>
      <c r="I128" t="s">
        <v>23</v>
      </c>
      <c r="J128" t="s">
        <v>15</v>
      </c>
      <c r="K128" t="s">
        <v>23</v>
      </c>
      <c r="L128" t="s">
        <v>15</v>
      </c>
      <c r="M128" t="s">
        <v>23</v>
      </c>
      <c r="N128" t="s">
        <v>24</v>
      </c>
      <c r="O128" t="s">
        <v>24</v>
      </c>
      <c r="P128" t="s">
        <v>463</v>
      </c>
    </row>
    <row r="129" spans="1:16" x14ac:dyDescent="0.2">
      <c r="A129">
        <v>2025</v>
      </c>
      <c r="B129" t="s">
        <v>37</v>
      </c>
      <c r="C129" t="s">
        <v>25</v>
      </c>
      <c r="D129" s="24" t="s">
        <v>29</v>
      </c>
      <c r="E129" s="24" t="s">
        <v>29</v>
      </c>
      <c r="F129" s="9" t="s">
        <v>444</v>
      </c>
      <c r="G129" t="s">
        <v>98</v>
      </c>
      <c r="H129" t="s">
        <v>137</v>
      </c>
      <c r="I129" t="s">
        <v>23</v>
      </c>
      <c r="J129" t="s">
        <v>126</v>
      </c>
      <c r="K129" t="s">
        <v>23</v>
      </c>
      <c r="L129" t="s">
        <v>350</v>
      </c>
      <c r="M129" t="s">
        <v>23</v>
      </c>
      <c r="N129" t="s">
        <v>24</v>
      </c>
      <c r="O129" t="s">
        <v>25</v>
      </c>
    </row>
    <row r="130" spans="1:16" x14ac:dyDescent="0.2">
      <c r="A130">
        <v>2025</v>
      </c>
      <c r="B130" t="s">
        <v>37</v>
      </c>
      <c r="C130" t="s">
        <v>25</v>
      </c>
      <c r="D130" s="24" t="s">
        <v>29</v>
      </c>
      <c r="E130" s="24" t="s">
        <v>29</v>
      </c>
      <c r="F130" s="3" t="s">
        <v>458</v>
      </c>
      <c r="G130" t="s">
        <v>261</v>
      </c>
      <c r="H130" t="s">
        <v>473</v>
      </c>
      <c r="I130" t="s">
        <v>23</v>
      </c>
      <c r="J130" t="s">
        <v>134</v>
      </c>
      <c r="K130" t="s">
        <v>23</v>
      </c>
      <c r="L130" t="s">
        <v>151</v>
      </c>
      <c r="M130" t="s">
        <v>49</v>
      </c>
      <c r="N130" t="s">
        <v>15</v>
      </c>
      <c r="O130" t="s">
        <v>25</v>
      </c>
      <c r="P130" t="s">
        <v>460</v>
      </c>
    </row>
    <row r="131" spans="1:16" x14ac:dyDescent="0.2">
      <c r="A131">
        <v>2025</v>
      </c>
      <c r="B131" t="s">
        <v>37</v>
      </c>
      <c r="C131" t="s">
        <v>25</v>
      </c>
      <c r="D131" s="24" t="s">
        <v>29</v>
      </c>
      <c r="E131" s="24" t="s">
        <v>29</v>
      </c>
      <c r="F131" s="3" t="s">
        <v>459</v>
      </c>
      <c r="G131" t="s">
        <v>261</v>
      </c>
      <c r="H131" t="s">
        <v>473</v>
      </c>
      <c r="I131" t="s">
        <v>23</v>
      </c>
      <c r="J131" t="s">
        <v>134</v>
      </c>
      <c r="K131" t="s">
        <v>23</v>
      </c>
      <c r="L131" t="s">
        <v>151</v>
      </c>
      <c r="M131" t="s">
        <v>49</v>
      </c>
      <c r="N131" t="s">
        <v>15</v>
      </c>
      <c r="O131" t="s">
        <v>25</v>
      </c>
      <c r="P131" t="s">
        <v>461</v>
      </c>
    </row>
    <row r="132" spans="1:16" x14ac:dyDescent="0.2">
      <c r="A132">
        <v>2025</v>
      </c>
      <c r="B132" t="s">
        <v>37</v>
      </c>
      <c r="C132" t="s">
        <v>25</v>
      </c>
      <c r="D132" s="24" t="s">
        <v>29</v>
      </c>
      <c r="E132" s="24" t="s">
        <v>29</v>
      </c>
      <c r="F132" s="3" t="s">
        <v>472</v>
      </c>
      <c r="G132" t="s">
        <v>116</v>
      </c>
      <c r="H132" t="s">
        <v>473</v>
      </c>
      <c r="I132" t="s">
        <v>23</v>
      </c>
      <c r="J132" t="s">
        <v>134</v>
      </c>
      <c r="K132" t="s">
        <v>23</v>
      </c>
      <c r="L132" t="s">
        <v>49</v>
      </c>
      <c r="M132" t="s">
        <v>23</v>
      </c>
      <c r="N132" t="s">
        <v>15</v>
      </c>
      <c r="O132" t="s">
        <v>25</v>
      </c>
    </row>
    <row r="133" spans="1:16" x14ac:dyDescent="0.2">
      <c r="A133">
        <v>2025</v>
      </c>
      <c r="B133" t="s">
        <v>37</v>
      </c>
      <c r="C133" t="s">
        <v>25</v>
      </c>
      <c r="D133" s="24" t="s">
        <v>29</v>
      </c>
      <c r="E133" s="24" t="s">
        <v>29</v>
      </c>
      <c r="F133" s="3" t="s">
        <v>485</v>
      </c>
      <c r="G133" t="s">
        <v>35</v>
      </c>
      <c r="H133" t="s">
        <v>487</v>
      </c>
      <c r="I133" t="s">
        <v>23</v>
      </c>
      <c r="J133" t="s">
        <v>486</v>
      </c>
      <c r="K133" t="s">
        <v>23</v>
      </c>
      <c r="L133" t="s">
        <v>150</v>
      </c>
      <c r="M133" t="s">
        <v>151</v>
      </c>
      <c r="N133" t="s">
        <v>15</v>
      </c>
      <c r="O133" t="s">
        <v>25</v>
      </c>
    </row>
    <row r="134" spans="1:16" x14ac:dyDescent="0.2">
      <c r="A134">
        <v>2025</v>
      </c>
      <c r="B134" t="s">
        <v>37</v>
      </c>
      <c r="C134" t="s">
        <v>25</v>
      </c>
      <c r="D134" s="24" t="s">
        <v>29</v>
      </c>
      <c r="E134" s="24" t="s">
        <v>29</v>
      </c>
      <c r="F134" s="3" t="s">
        <v>543</v>
      </c>
      <c r="G134" t="s">
        <v>98</v>
      </c>
      <c r="H134" t="s">
        <v>137</v>
      </c>
      <c r="I134" t="s">
        <v>23</v>
      </c>
      <c r="J134" t="s">
        <v>138</v>
      </c>
      <c r="K134" t="s">
        <v>23</v>
      </c>
      <c r="L134" t="s">
        <v>350</v>
      </c>
      <c r="M134" t="s">
        <v>23</v>
      </c>
      <c r="N134" t="s">
        <v>24</v>
      </c>
      <c r="O134" t="s">
        <v>25</v>
      </c>
    </row>
    <row r="135" spans="1:16" x14ac:dyDescent="0.2">
      <c r="A135">
        <v>2025</v>
      </c>
      <c r="B135" t="s">
        <v>37</v>
      </c>
      <c r="C135" t="s">
        <v>24</v>
      </c>
      <c r="D135" s="24">
        <v>45901</v>
      </c>
      <c r="E135" s="24">
        <v>46022</v>
      </c>
      <c r="F135" s="3" t="s">
        <v>550</v>
      </c>
      <c r="G135" t="s">
        <v>43</v>
      </c>
      <c r="H135" t="s">
        <v>127</v>
      </c>
      <c r="I135" t="s">
        <v>23</v>
      </c>
      <c r="J135" t="s">
        <v>126</v>
      </c>
      <c r="K135" t="s">
        <v>23</v>
      </c>
      <c r="L135" t="s">
        <v>33</v>
      </c>
      <c r="M135" t="s">
        <v>23</v>
      </c>
      <c r="N135" t="s">
        <v>15</v>
      </c>
      <c r="O135" t="s">
        <v>25</v>
      </c>
      <c r="P135" t="s">
        <v>551</v>
      </c>
    </row>
    <row r="136" spans="1:16" x14ac:dyDescent="0.2">
      <c r="A136">
        <v>2025</v>
      </c>
      <c r="B136" t="s">
        <v>39</v>
      </c>
      <c r="C136" t="s">
        <v>25</v>
      </c>
      <c r="D136" s="24" t="s">
        <v>29</v>
      </c>
      <c r="E136" s="24" t="s">
        <v>29</v>
      </c>
      <c r="F136" s="3" t="s">
        <v>532</v>
      </c>
      <c r="G136" t="s">
        <v>35</v>
      </c>
      <c r="H136" t="s">
        <v>473</v>
      </c>
      <c r="I136" t="s">
        <v>23</v>
      </c>
      <c r="J136" t="s">
        <v>134</v>
      </c>
      <c r="K136" t="s">
        <v>23</v>
      </c>
      <c r="L136" t="s">
        <v>49</v>
      </c>
      <c r="M136" t="s">
        <v>23</v>
      </c>
      <c r="N136" t="s">
        <v>15</v>
      </c>
      <c r="O136" t="s">
        <v>25</v>
      </c>
    </row>
    <row r="137" spans="1:16" x14ac:dyDescent="0.2">
      <c r="A137">
        <v>2025</v>
      </c>
      <c r="B137" t="s">
        <v>39</v>
      </c>
      <c r="C137" t="s">
        <v>25</v>
      </c>
      <c r="D137" s="24" t="s">
        <v>29</v>
      </c>
      <c r="E137" s="24" t="s">
        <v>29</v>
      </c>
      <c r="F137" s="9" t="s">
        <v>491</v>
      </c>
      <c r="G137" t="s">
        <v>104</v>
      </c>
      <c r="H137" t="s">
        <v>15</v>
      </c>
      <c r="I137" t="s">
        <v>23</v>
      </c>
      <c r="J137" t="s">
        <v>15</v>
      </c>
      <c r="K137" t="s">
        <v>23</v>
      </c>
      <c r="L137" t="s">
        <v>151</v>
      </c>
      <c r="M137" t="s">
        <v>23</v>
      </c>
      <c r="N137" t="s">
        <v>15</v>
      </c>
      <c r="O137" t="s">
        <v>25</v>
      </c>
      <c r="P137" t="s">
        <v>492</v>
      </c>
    </row>
    <row r="138" spans="1:16" x14ac:dyDescent="0.2">
      <c r="A138">
        <v>2025</v>
      </c>
      <c r="B138" t="s">
        <v>39</v>
      </c>
      <c r="C138" t="s">
        <v>25</v>
      </c>
      <c r="D138" s="24" t="s">
        <v>29</v>
      </c>
      <c r="E138" s="24" t="s">
        <v>29</v>
      </c>
      <c r="F138" s="3" t="s">
        <v>495</v>
      </c>
      <c r="G138" t="s">
        <v>493</v>
      </c>
      <c r="H138" t="s">
        <v>3</v>
      </c>
      <c r="I138" t="s">
        <v>23</v>
      </c>
      <c r="J138" t="s">
        <v>126</v>
      </c>
      <c r="K138" t="s">
        <v>23</v>
      </c>
      <c r="L138" t="s">
        <v>15</v>
      </c>
      <c r="M138" t="s">
        <v>23</v>
      </c>
      <c r="N138" t="s">
        <v>24</v>
      </c>
      <c r="O138" t="s">
        <v>25</v>
      </c>
      <c r="P138" t="s">
        <v>494</v>
      </c>
    </row>
    <row r="139" spans="1:16" x14ac:dyDescent="0.2">
      <c r="A139">
        <v>2025</v>
      </c>
      <c r="B139" t="s">
        <v>39</v>
      </c>
      <c r="C139" t="s">
        <v>25</v>
      </c>
      <c r="D139" s="24" t="s">
        <v>29</v>
      </c>
      <c r="E139" s="24" t="s">
        <v>29</v>
      </c>
      <c r="F139" s="3" t="s">
        <v>497</v>
      </c>
      <c r="G139" t="s">
        <v>104</v>
      </c>
      <c r="H139" t="s">
        <v>487</v>
      </c>
      <c r="I139" t="s">
        <v>23</v>
      </c>
      <c r="J139" t="s">
        <v>15</v>
      </c>
      <c r="K139" t="s">
        <v>23</v>
      </c>
      <c r="L139" t="s">
        <v>151</v>
      </c>
      <c r="M139" t="s">
        <v>23</v>
      </c>
      <c r="N139" t="s">
        <v>15</v>
      </c>
      <c r="O139" t="s">
        <v>25</v>
      </c>
      <c r="P139" t="s">
        <v>508</v>
      </c>
    </row>
    <row r="140" spans="1:16" x14ac:dyDescent="0.2">
      <c r="A140">
        <v>2025</v>
      </c>
      <c r="B140" t="s">
        <v>39</v>
      </c>
      <c r="C140" t="s">
        <v>25</v>
      </c>
      <c r="D140" s="24" t="s">
        <v>29</v>
      </c>
      <c r="E140" s="24" t="s">
        <v>29</v>
      </c>
      <c r="F140" s="3" t="s">
        <v>498</v>
      </c>
      <c r="G140" t="s">
        <v>104</v>
      </c>
      <c r="H140" t="s">
        <v>487</v>
      </c>
      <c r="I140" t="s">
        <v>23</v>
      </c>
      <c r="J140" t="s">
        <v>15</v>
      </c>
      <c r="K140" t="s">
        <v>23</v>
      </c>
      <c r="L140" t="s">
        <v>151</v>
      </c>
      <c r="M140" t="s">
        <v>23</v>
      </c>
      <c r="N140" t="s">
        <v>15</v>
      </c>
      <c r="O140" t="s">
        <v>25</v>
      </c>
    </row>
    <row r="141" spans="1:16" x14ac:dyDescent="0.2">
      <c r="A141">
        <v>2025</v>
      </c>
      <c r="B141" t="s">
        <v>39</v>
      </c>
      <c r="C141" t="s">
        <v>24</v>
      </c>
      <c r="D141" s="24">
        <v>45931</v>
      </c>
      <c r="E141" s="24">
        <v>46022</v>
      </c>
      <c r="F141" s="3" t="s">
        <v>546</v>
      </c>
      <c r="G141" t="s">
        <v>75</v>
      </c>
      <c r="H141" t="s">
        <v>473</v>
      </c>
      <c r="I141" t="s">
        <v>23</v>
      </c>
      <c r="J141" t="s">
        <v>126</v>
      </c>
      <c r="K141" t="s">
        <v>23</v>
      </c>
      <c r="L141" t="s">
        <v>49</v>
      </c>
      <c r="M141" t="s">
        <v>23</v>
      </c>
      <c r="N141" t="s">
        <v>15</v>
      </c>
      <c r="O141" t="s">
        <v>25</v>
      </c>
    </row>
    <row r="142" spans="1:16" x14ac:dyDescent="0.2">
      <c r="A142">
        <v>2025</v>
      </c>
      <c r="B142" t="s">
        <v>38</v>
      </c>
      <c r="C142" t="s">
        <v>25</v>
      </c>
      <c r="D142" s="24" t="s">
        <v>29</v>
      </c>
      <c r="E142" s="24" t="s">
        <v>29</v>
      </c>
      <c r="F142" s="3" t="s">
        <v>499</v>
      </c>
      <c r="G142" t="s">
        <v>104</v>
      </c>
      <c r="H142" t="s">
        <v>487</v>
      </c>
      <c r="I142" t="s">
        <v>23</v>
      </c>
      <c r="J142" t="s">
        <v>15</v>
      </c>
      <c r="K142" t="s">
        <v>23</v>
      </c>
      <c r="L142" t="s">
        <v>151</v>
      </c>
      <c r="M142" t="s">
        <v>23</v>
      </c>
      <c r="N142" t="s">
        <v>15</v>
      </c>
      <c r="O142" t="s">
        <v>25</v>
      </c>
      <c r="P142" t="s">
        <v>500</v>
      </c>
    </row>
    <row r="143" spans="1:16" x14ac:dyDescent="0.2">
      <c r="A143">
        <v>2025</v>
      </c>
      <c r="B143" t="s">
        <v>38</v>
      </c>
      <c r="C143" t="s">
        <v>25</v>
      </c>
      <c r="D143" s="24" t="s">
        <v>29</v>
      </c>
      <c r="E143" s="24" t="s">
        <v>29</v>
      </c>
      <c r="F143" s="9" t="s">
        <v>522</v>
      </c>
      <c r="G143" t="s">
        <v>104</v>
      </c>
      <c r="H143" t="s">
        <v>473</v>
      </c>
      <c r="I143" t="s">
        <v>23</v>
      </c>
      <c r="J143" t="s">
        <v>134</v>
      </c>
      <c r="K143" t="s">
        <v>23</v>
      </c>
      <c r="L143" t="s">
        <v>49</v>
      </c>
      <c r="M143" t="s">
        <v>23</v>
      </c>
      <c r="N143" t="s">
        <v>15</v>
      </c>
      <c r="O143" t="s">
        <v>25</v>
      </c>
      <c r="P143" t="s">
        <v>523</v>
      </c>
    </row>
    <row r="144" spans="1:16" x14ac:dyDescent="0.2">
      <c r="A144">
        <v>2025</v>
      </c>
      <c r="B144" t="s">
        <v>38</v>
      </c>
      <c r="C144" t="s">
        <v>25</v>
      </c>
      <c r="D144" s="24" t="s">
        <v>29</v>
      </c>
      <c r="E144" s="24" t="s">
        <v>29</v>
      </c>
      <c r="F144" s="3" t="s">
        <v>509</v>
      </c>
      <c r="G144" t="s">
        <v>510</v>
      </c>
      <c r="H144" t="s">
        <v>473</v>
      </c>
      <c r="I144" t="s">
        <v>511</v>
      </c>
      <c r="J144" t="s">
        <v>134</v>
      </c>
      <c r="K144" t="s">
        <v>15</v>
      </c>
      <c r="L144" t="s">
        <v>49</v>
      </c>
      <c r="M144" t="s">
        <v>512</v>
      </c>
      <c r="N144" t="s">
        <v>15</v>
      </c>
      <c r="O144" t="s">
        <v>25</v>
      </c>
    </row>
    <row r="145" spans="1:16" x14ac:dyDescent="0.2">
      <c r="A145">
        <v>2025</v>
      </c>
      <c r="B145" t="s">
        <v>38</v>
      </c>
      <c r="C145" t="s">
        <v>25</v>
      </c>
      <c r="D145" s="24" t="s">
        <v>29</v>
      </c>
      <c r="E145" s="24" t="s">
        <v>29</v>
      </c>
      <c r="F145" s="3" t="s">
        <v>519</v>
      </c>
      <c r="G145" t="s">
        <v>43</v>
      </c>
      <c r="H145" t="s">
        <v>61</v>
      </c>
      <c r="I145" t="s">
        <v>23</v>
      </c>
      <c r="J145" t="s">
        <v>133</v>
      </c>
      <c r="K145" t="s">
        <v>126</v>
      </c>
      <c r="L145" t="s">
        <v>55</v>
      </c>
      <c r="M145" t="s">
        <v>23</v>
      </c>
      <c r="N145" t="s">
        <v>15</v>
      </c>
      <c r="O145" t="s">
        <v>25</v>
      </c>
    </row>
    <row r="146" spans="1:16" x14ac:dyDescent="0.2">
      <c r="A146">
        <v>2025</v>
      </c>
      <c r="B146" t="s">
        <v>92</v>
      </c>
      <c r="C146" t="s">
        <v>25</v>
      </c>
      <c r="D146" s="24" t="s">
        <v>29</v>
      </c>
      <c r="E146" s="24" t="s">
        <v>29</v>
      </c>
      <c r="F146" s="3" t="s">
        <v>544</v>
      </c>
      <c r="G146" t="s">
        <v>536</v>
      </c>
      <c r="H146" t="s">
        <v>473</v>
      </c>
      <c r="I146" t="s">
        <v>23</v>
      </c>
      <c r="J146" t="s">
        <v>474</v>
      </c>
      <c r="K146" t="s">
        <v>23</v>
      </c>
      <c r="L146" t="s">
        <v>342</v>
      </c>
      <c r="M146" t="s">
        <v>23</v>
      </c>
      <c r="N146" t="s">
        <v>15</v>
      </c>
      <c r="O146" t="s">
        <v>25</v>
      </c>
      <c r="P146" t="s">
        <v>545</v>
      </c>
    </row>
    <row r="147" spans="1:16" x14ac:dyDescent="0.2">
      <c r="A147">
        <v>2025</v>
      </c>
      <c r="B147" t="s">
        <v>92</v>
      </c>
      <c r="C147" t="s">
        <v>25</v>
      </c>
      <c r="D147" s="24" t="s">
        <v>29</v>
      </c>
      <c r="E147" s="24" t="s">
        <v>29</v>
      </c>
      <c r="F147" s="3" t="s">
        <v>559</v>
      </c>
      <c r="G147" t="s">
        <v>30</v>
      </c>
      <c r="H147" t="s">
        <v>61</v>
      </c>
      <c r="I147" t="s">
        <v>23</v>
      </c>
      <c r="J147" t="s">
        <v>146</v>
      </c>
      <c r="K147" t="s">
        <v>23</v>
      </c>
      <c r="L147" t="s">
        <v>150</v>
      </c>
      <c r="M147" t="s">
        <v>23</v>
      </c>
      <c r="N147" t="s">
        <v>25</v>
      </c>
      <c r="O147" t="s">
        <v>25</v>
      </c>
    </row>
    <row r="148" spans="1:16" x14ac:dyDescent="0.2">
      <c r="F148" s="3"/>
    </row>
    <row r="149" spans="1:16" x14ac:dyDescent="0.2">
      <c r="F149" s="3"/>
    </row>
    <row r="150" spans="1:16" x14ac:dyDescent="0.2">
      <c r="F150" s="3"/>
    </row>
    <row r="151" spans="1:16" x14ac:dyDescent="0.2">
      <c r="F151" t="s">
        <v>558</v>
      </c>
    </row>
    <row r="152" spans="1:16" x14ac:dyDescent="0.2">
      <c r="F152" s="3" t="s">
        <v>403</v>
      </c>
    </row>
    <row r="153" spans="1:16" x14ac:dyDescent="0.2">
      <c r="F153" s="3" t="s">
        <v>445</v>
      </c>
    </row>
    <row r="154" spans="1:16" x14ac:dyDescent="0.2">
      <c r="E154" s="26"/>
      <c r="F154" s="9" t="s">
        <v>553</v>
      </c>
    </row>
    <row r="155" spans="1:16" x14ac:dyDescent="0.2">
      <c r="F155" s="3"/>
    </row>
    <row r="168" spans="1:16" x14ac:dyDescent="0.2">
      <c r="K168" s="5"/>
    </row>
    <row r="169" spans="1:16" x14ac:dyDescent="0.2">
      <c r="A169" s="5"/>
      <c r="B169" s="5"/>
      <c r="C169" s="5"/>
      <c r="D169" s="25"/>
      <c r="E169" s="25"/>
      <c r="G169" s="5"/>
      <c r="H169" s="5"/>
      <c r="I169" s="5"/>
      <c r="J169" s="5"/>
      <c r="L169" s="5"/>
      <c r="M169" s="5"/>
      <c r="N169" s="5"/>
      <c r="O169" s="5"/>
      <c r="P169" s="5"/>
    </row>
    <row r="170" spans="1:16" x14ac:dyDescent="0.2">
      <c r="A170" s="5"/>
      <c r="B170" s="5"/>
      <c r="C170" s="5"/>
      <c r="D170" s="25"/>
      <c r="E170" s="25"/>
      <c r="G170" s="5"/>
      <c r="H170" s="5"/>
      <c r="I170" s="5"/>
      <c r="J170" s="5"/>
      <c r="K170" s="5"/>
      <c r="L170" s="5"/>
      <c r="M170" s="5"/>
      <c r="N170" s="5"/>
      <c r="O170" s="5"/>
      <c r="P170" s="5"/>
    </row>
  </sheetData>
  <sortState xmlns:xlrd2="http://schemas.microsoft.com/office/spreadsheetml/2017/richdata2" ref="A2:P148">
    <sortCondition ref="A2:A148"/>
    <sortCondition ref="B2:B148" customList="January,February,March,April,May,June,July,August,September,October,November,December"/>
  </sortState>
  <hyperlinks>
    <hyperlink ref="F39" r:id="rId1" display="Sending illegal immigrants towards Finland" xr:uid="{E5094AE5-BEB3-5A45-8699-C96ACCBF8748}"/>
    <hyperlink ref="F63" r:id="rId2" xr:uid="{2E376451-3429-5141-AFD8-F46213B3EE1C}"/>
    <hyperlink ref="F68" r:id="rId3" display="Shopping mall fire" xr:uid="{1A847DEE-F5E8-544F-842A-0465A326809D}"/>
    <hyperlink ref="F21" r:id="rId4" xr:uid="{3D9522B9-57EE-BB45-B0B9-B937A153064B}"/>
    <hyperlink ref="F84" r:id="rId5" xr:uid="{996E2FC3-5657-A948-9F9F-6369D2A27FD6}"/>
    <hyperlink ref="F85" r:id="rId6" display="Incendiary device placed on plane, ignites in DHL warehouse Germany" xr:uid="{BDC92EA7-6EC6-3E4B-84E8-093C2D899EF1}"/>
    <hyperlink ref="F56" r:id="rId7" xr:uid="{AEE099E6-C5BE-7848-ABD7-B2C0878C9B3D}"/>
    <hyperlink ref="F62" r:id="rId8" display="Thwarted plot to kill Rheinmetall CEO Armin Papperger. Thwarted at the latest July 2024, when news broke in the media. Plot dated to 'earlier this year' according to CCN" xr:uid="{56128FDF-2263-C447-A24E-B6F72D2AAA16}"/>
    <hyperlink ref="F99" r:id="rId9" xr:uid="{3DB2B57B-0412-2240-B7EC-8C85675271C9}"/>
    <hyperlink ref="F53" r:id="rId10" display="Russian kill defected pilot in Spain" xr:uid="{3D0B6E26-3BC4-4D4A-A010-656246C16473}"/>
    <hyperlink ref="F57" r:id="rId11" display="Arson attack on Ukraine-linked business outskirts Madrid, linked to London attack" xr:uid="{356EB759-2E9E-1343-9005-D975B1273044}"/>
    <hyperlink ref="F76" r:id="rId12" xr:uid="{E19C9E18-CCC5-BE4C-8C7B-00F36D551C72}"/>
    <hyperlink ref="F98" r:id="rId13" xr:uid="{706D423D-9898-8547-B69C-82C29E38ABA8}"/>
    <hyperlink ref="F92" r:id="rId14" xr:uid="{C4075CF7-2FDD-F14D-9153-66E50F1BA0E2}"/>
    <hyperlink ref="F6" r:id="rId15" xr:uid="{EDAB38B2-A8DE-C449-8356-45979131E6E4}"/>
    <hyperlink ref="F51" r:id="rId16" display="Descecration of memorial sites, cars of interior minister, journalist, Latvia" xr:uid="{7FF702AC-E5DC-7F4D-BE85-4D2829E32D1A}"/>
    <hyperlink ref="F37" r:id="rId17" xr:uid="{CDE22F3F-BD1C-0B48-8C4B-AD8DEE0FFD8F}"/>
    <hyperlink ref="F38" r:id="rId18" xr:uid="{EDE23C84-5FE4-3A4E-8F25-90EE77DE525F}"/>
    <hyperlink ref="F54" r:id="rId19" xr:uid="{1D2EDE7C-447E-244D-913B-A47AE8D74EB2}"/>
    <hyperlink ref="F4" r:id="rId20" xr:uid="{A18ABC22-EEC1-3F45-ACA7-515D46899AC5}"/>
    <hyperlink ref="F18" r:id="rId21" xr:uid="{5D12794F-5CBA-3042-8C33-59BAE9A58EB8}"/>
    <hyperlink ref="F47" r:id="rId22" xr:uid="{52A8C997-530C-8540-BE06-75C5D50B2630}"/>
    <hyperlink ref="F40" r:id="rId23" xr:uid="{C6930788-6C57-5045-9B70-DCDBC3E7E66E}"/>
    <hyperlink ref="F28" r:id="rId24" display="GPS jamming over Baltic Sea" xr:uid="{19D84F56-BB2E-E443-8C79-1097DB870C47}"/>
    <hyperlink ref="F86" r:id="rId25" xr:uid="{F93A766E-9858-AA47-B098-BCF4E5DD3F28}"/>
    <hyperlink ref="F77" r:id="rId26" xr:uid="{E6C20159-0E1E-5C47-B3CA-44E459A0E757}"/>
    <hyperlink ref="F78" r:id="rId27" xr:uid="{6D7C5ECC-065A-7544-A77E-A8812E55F474}"/>
    <hyperlink ref="F30" r:id="rId28" xr:uid="{7A9B9F04-CF12-8C47-97E5-920BAAD1A2B2}"/>
    <hyperlink ref="F24" r:id="rId29" xr:uid="{846695BB-DB3F-C348-BF08-6A64ECB43A5F}"/>
    <hyperlink ref="G24" r:id="rId30" xr:uid="{53E40F00-D0AA-5B47-A94D-2B41B164EF45}"/>
    <hyperlink ref="F52" r:id="rId31" display="Voice of Europe, cash payments to anti-establishment politicians, Russian attempt to influence EU Parliament elections" xr:uid="{D355CE94-D267-2E49-ADD4-9FD121D00169}"/>
    <hyperlink ref="G52" r:id="rId32" xr:uid="{D8EE9638-FB29-3E4F-B491-9D693E67078A}"/>
    <hyperlink ref="F100" r:id="rId33" xr:uid="{ADECA03D-8AEF-8C4A-AEC5-F116A937C8CB}"/>
    <hyperlink ref="F42" r:id="rId34" display="Monument to Lativan partisan leader defaced with paint" xr:uid="{C1E7C07B-6A2D-E54F-B8F1-8CEC94123FBC}"/>
    <hyperlink ref="F34" r:id="rId35" xr:uid="{38012C46-CA36-274B-A98A-1393FC8998B6}"/>
    <hyperlink ref="F43" r:id="rId36" xr:uid="{046A5B30-D0F1-1843-A386-812134750E31}"/>
    <hyperlink ref="F23" r:id="rId37" display="Arms factory explosion in Karnobat, Bulgaria" xr:uid="{558B1315-FBC5-A140-8312-90A54A6D496F}"/>
    <hyperlink ref="F9" r:id="rId38" xr:uid="{18F32313-C066-BA4D-87E2-14B16D82ACC9}"/>
    <hyperlink ref="F22" r:id="rId39" xr:uid="{B1498193-10FD-EA4F-B42B-6C689BD219B4}"/>
    <hyperlink ref="F10" r:id="rId40" display="Building left &amp; right-wing anti-war coaltion in Germany (Wagenknecht / AfD)" xr:uid="{28857CDB-DEDE-B643-B336-49680E6CCBF2}"/>
    <hyperlink ref="F15" r:id="rId41" display="Building left &amp; right-wing anti-war coaltion in Germany (Wagenknecht / AfD)" xr:uid="{5826FB40-DC49-6640-AE6D-5A6B59BD1010}"/>
    <hyperlink ref="F11" r:id="rId42" xr:uid="{3FE39ED8-4075-4D48-A523-34E9CD603B1F}"/>
    <hyperlink ref="F35" r:id="rId43" xr:uid="{14FA4259-FB94-7643-8306-9F7886D660DF}"/>
    <hyperlink ref="F95" r:id="rId44" xr:uid="{08355FED-1F19-C34B-AC65-8D001F3C27F7}"/>
    <hyperlink ref="F50" r:id="rId45" display="GPS jamming over Baltic Sea" xr:uid="{BE98F99B-A6FA-8146-B5CC-9EAFF9F8BAB5}"/>
    <hyperlink ref="F70" r:id="rId46" xr:uid="{6D611A49-4A71-3347-8F2C-1CB0EF000110}"/>
    <hyperlink ref="F93" r:id="rId47" xr:uid="{D061341B-FC27-F442-B14B-E7CE890D7774}"/>
    <hyperlink ref="F79" r:id="rId48" xr:uid="{D2A56F73-9BBA-C94B-8F51-0D0CCB3DFFFC}"/>
    <hyperlink ref="F41" r:id="rId49" xr:uid="{AA740E12-AA1D-F542-9E74-4072D3FBED84}"/>
    <hyperlink ref="F103" r:id="rId50" xr:uid="{710ADC1D-5EFD-FE4A-A476-6E1665EF3E1E}"/>
    <hyperlink ref="F69" r:id="rId51" location="google_vignette" xr:uid="{F3C631BF-BBE7-6448-954F-C3A853192B6E}"/>
    <hyperlink ref="P100" r:id="rId52" xr:uid="{7E77A040-0146-DE4E-AFC0-E7DEE4352A96}"/>
    <hyperlink ref="F104" r:id="rId53" xr:uid="{A57E8A55-F99D-D845-B939-E1C225496556}"/>
    <hyperlink ref="F59" r:id="rId54" xr:uid="{47BEC891-58A5-4C48-A4E5-D8D17D19A7AF}"/>
    <hyperlink ref="F71" r:id="rId55" xr:uid="{ED8393BB-6ACF-254C-9F89-50CDD355231D}"/>
    <hyperlink ref="F96" r:id="rId56" display="Hundreds of schools forced to close due to fake bomb threats per email. Head Czech secret service blames Ru, also for #61" xr:uid="{F332BDBF-F4AF-4B4F-A418-F73BC4F73DF0}"/>
    <hyperlink ref="F87" r:id="rId57" display="Explosive / inflammable parcel ignites in courier truck / van near Warsaw. Linked to perpetrators of DHL attacks" xr:uid="{86F210BA-3FD8-FB44-9ACA-EB40D5A0F418}"/>
    <hyperlink ref="F88" r:id="rId58" xr:uid="{B244FA82-95CA-B745-9F48-7B6D168167C3}"/>
    <hyperlink ref="F108" r:id="rId59" xr:uid="{172477CD-9F0C-A147-BA16-DD7F6629C460}"/>
    <hyperlink ref="F105" r:id="rId60" display="Cars vandalized with PUR-foam to implicate German Green Party, Schonefeld, Brandenburg" xr:uid="{FE123DE6-A5BE-7A43-B02C-F0EC423BB3AA}"/>
    <hyperlink ref="F119" r:id="rId61" xr:uid="{AB67BCD1-0746-FE4C-9A46-2436B26CEC6E}"/>
    <hyperlink ref="F26" r:id="rId62" display="Portal Kombat / Pravda network: websites disseminating pro-Russian content on war in Ukraine to Western audiences" xr:uid="{25A679EE-AF68-8241-985A-20B0B2A0ED11}"/>
    <hyperlink ref="F44" r:id="rId63" display="Portal Kombat / Pravda network: websites disseminating pro-Russian content on war in Ukraine to Western audiences" xr:uid="{E71B3794-1B55-9043-92F0-A1EC7B8114F8}"/>
    <hyperlink ref="F110" r:id="rId64" display="Portal Kombat / Pravda network: websites disseminating pro-Russian content on war in Ukraine to Western audiences" xr:uid="{515FEC53-1F57-BB42-95A1-DEB0BC7D7C20}"/>
    <hyperlink ref="F72" r:id="rId65" xr:uid="{B1468323-6F99-9A45-9239-1B6B02991719}"/>
    <hyperlink ref="F61" r:id="rId66" xr:uid="{CF8BDC89-88B3-8940-B922-1DEDAB331355}"/>
    <hyperlink ref="F31" r:id="rId67" display="Gas &amp; telecom cables Finland - Estonia damaged" xr:uid="{FB32BD5B-9713-124C-B410-F5CE97C0C0C0}"/>
    <hyperlink ref="F120" r:id="rId68" xr:uid="{C7962EF9-F17E-8C45-ABFA-9FE7C05886C3}"/>
    <hyperlink ref="F80" r:id="rId69" xr:uid="{6E8D9234-4F83-9740-AB7E-CA06A85BBF51}"/>
    <hyperlink ref="P68" r:id="rId70" xr:uid="{CE8CC124-E54D-6243-B42F-2A519FFF2CD7}"/>
    <hyperlink ref="P69" r:id="rId71" xr:uid="{F2AF5899-4F37-5241-BBCC-BF888B9A52F0}"/>
    <hyperlink ref="F27" r:id="rId72" xr:uid="{9842B058-6D04-9F40-AAF3-511AFB148ABA}"/>
    <hyperlink ref="F36" r:id="rId73" display="Sending illegal immigrants towards Estonia" xr:uid="{B4EDE484-0BDA-2F43-9764-466DA109DC9A}"/>
    <hyperlink ref="F29" r:id="rId74" display="Sending illegal immigrants towards Latvia: through Belarus, but can be assumed to be Russia-influenced / orchestrated" xr:uid="{641D96A4-0B78-4843-AFFC-9094FDF50B32}"/>
    <hyperlink ref="F101" r:id="rId75" xr:uid="{A4F9A102-61F8-2F44-8361-C55CD9243248}"/>
    <hyperlink ref="F111" r:id="rId76" xr:uid="{3AFD9146-0814-0140-968A-F95E73F5DFAD}"/>
    <hyperlink ref="F66" r:id="rId77" display="Belarusian Stepan K. set fire to large department / DIY store in Warsaw, April 2024. Store belonged to OBI, German home improvement store" xr:uid="{0EE7F824-9661-AF4C-9FA8-D2AB4C6B2BE5}"/>
    <hyperlink ref="F45" r:id="rId78" xr:uid="{1FE28468-CB25-6C49-B586-EDD9A153F034}"/>
    <hyperlink ref="F102" r:id="rId79" display="MIVD report on 2024 attempt by Russian hackers to attack the digital operating system / control center of a Dutch public service ('publieksvoorziening').  Turned out to be drinking fountain." xr:uid="{33BCBD50-BF97-C040-B378-864250CFAF03}"/>
    <hyperlink ref="F107" r:id="rId80" xr:uid="{DB7926C2-1F1D-5349-BF21-EC7BC1AD3F8A}"/>
    <hyperlink ref="F81" r:id="rId81" xr:uid="{4BE27CEE-5265-1641-8229-F5682B7C5A12}"/>
    <hyperlink ref="F121" r:id="rId82" xr:uid="{392FD518-3B6C-D340-94E8-844EA4E1099F}"/>
    <hyperlink ref="F7" r:id="rId83" display="Operation Doppelganger: Russian influence campaign that used faked websites (e.g., Der Spiegel, WaPo) to undermine Western support for Ukraine." xr:uid="{FAB11939-532D-694F-85A5-6A6A442FA0F3}"/>
    <hyperlink ref="F17" r:id="rId84" display="Operation Doppelganger: Russian influence campaign that used faked websites (e.g., Der Spiegel, WaPo) to undermine Western support for Ukraine." xr:uid="{00E207C8-5F71-214A-95A1-319F5B3E0F84}"/>
    <hyperlink ref="F46" r:id="rId85" display="Operation Doppelganger: Russian influence campaign that used faked websites (e.g., Der Spiegel, WaPo) to undermine Western support for Ukraine." xr:uid="{52253149-5994-774F-B1D5-4A0659417529}"/>
    <hyperlink ref="F112" r:id="rId86" xr:uid="{978A5DAA-172F-164E-B25F-64956F42DCF5}"/>
    <hyperlink ref="F13" r:id="rId87" display="Six letter bombs sent to targets in Spain in Nov &amp; Dec. Targeted Prime Minister, US &amp; UKR embassies, defence ministry, among others. Russian Imperial Movement suspected, acting on behalf of Ru intel" xr:uid="{127C7C7E-62BF-DE44-A465-EE35F95ADD13}"/>
    <hyperlink ref="F123" r:id="rId88" xr:uid="{7E8D4C03-0A94-3E45-B885-070C8A6282C3}"/>
    <hyperlink ref="F114" r:id="rId89" display="Operation Doppelganger: Russian influence campaign that used faked websites (e.g., Der Spiegel, WaPo) to undermine Western support for Ukraine." xr:uid="{6A0A1CE6-A07F-1D4E-B54C-251B2046F937}"/>
    <hyperlink ref="F55" r:id="rId90" xr:uid="{5618A1B1-1A9E-9F44-A09F-AC4B634DE80D}"/>
    <hyperlink ref="F113" r:id="rId91" xr:uid="{352837AB-9EB8-724C-8AA3-72DA5273A952}"/>
    <hyperlink ref="F14" r:id="rId92" display="Russian agents provocateur use demonstration about the conditions of care workers in Brussels to spread anti-Ukrainian propaganda" xr:uid="{C6827217-D61F-1D49-BC51-3674BD190C42}"/>
    <hyperlink ref="F48" r:id="rId93" display="https://www.nrc.nl/nieuws/2023/10/23/demonstreren-voor-vrede-met-steun-uit-rusland-a4178281?utm_source=chatgpt.com" xr:uid="{2D52B082-4EEC-E049-AF94-AE01380BBB47}"/>
    <hyperlink ref="F115" r:id="rId94" display="https://www.nrc.nl/nieuws/2023/10/23/demonstreren-voor-vrede-met-steun-uit-rusland-a4178281?utm_source=chatgpt.com" xr:uid="{2CF000DC-3A30-1D46-B511-02F7D585EECE}"/>
    <hyperlink ref="F16" r:id="rId95" display="Russian agents provocateur use demonstration about the conditions of care workers in Brussels to spread anti-Ukrainian propaganda" xr:uid="{ADF7E6A5-1DD8-4F42-A782-4523FD188988}"/>
    <hyperlink ref="F5" r:id="rId96" xr:uid="{92610526-E32F-EC47-ABA7-717502EE7480}"/>
    <hyperlink ref="F8" r:id="rId97" xr:uid="{523D9038-1178-3A41-940F-D437143CD67F}"/>
    <hyperlink ref="F20" r:id="rId98" xr:uid="{7F093789-6FC3-C248-AD6B-C9AC875B9542}"/>
    <hyperlink ref="F49" r:id="rId99" display="Children of war campaign (Kinder des Krieges). Kremlin-backed and AFD supported campaign to sway public opinion against supporting Ukraine." xr:uid="{F74270AD-428A-094E-AFD5-A6A92B1AEF6B}"/>
    <hyperlink ref="F116" r:id="rId100" display="GPS jamming over Baltic Sea" xr:uid="{31A89433-2E92-5D46-9571-C641CD7648DE}"/>
    <hyperlink ref="F94" r:id="rId101" xr:uid="{3FBC8A1D-C9B1-2540-8BF2-C9C509657FF8}"/>
    <hyperlink ref="F3" r:id="rId102" xr:uid="{90B2E33F-1671-0141-9B75-82986F078AA7}"/>
    <hyperlink ref="F12" r:id="rId103" xr:uid="{EFA6C45F-825F-934C-8C7A-B38A15B85A08}"/>
    <hyperlink ref="F117" r:id="rId104" xr:uid="{E452342F-C972-3343-AE61-7E6021DD7A98}"/>
    <hyperlink ref="F33" r:id="rId105" xr:uid="{17A84FA8-B7A3-0642-AE3A-4CBD4D9D6D06}"/>
    <hyperlink ref="F67" r:id="rId106" xr:uid="{AFD31969-D010-6948-94EE-461DD683D65D}"/>
    <hyperlink ref="F73" r:id="rId107" xr:uid="{2B030153-1131-F748-B8AD-F0EFD059E80B}"/>
    <hyperlink ref="F82" r:id="rId108" xr:uid="{BAB433DC-4FF5-D748-AE0B-4C85A0E839B9}"/>
    <hyperlink ref="F83" r:id="rId109" xr:uid="{827169A8-32B7-DD49-BF8E-141B8651F528}"/>
    <hyperlink ref="F74" r:id="rId110" display="Arson attempt construction warehouse / supply depot Warsaw" xr:uid="{A70678CA-8444-BB46-90D6-429F76F923A3}"/>
    <hyperlink ref="F97" r:id="rId111" display="Two Spanish nationals traveled to Lithuania in September to set fire to a company in Siauliai, northern Lithuani. One is also Russian national. Failed, fled to Latvia." xr:uid="{DD2D1EBC-2A08-BD45-88FE-A67A7161D841}"/>
    <hyperlink ref="F60" r:id="rId112" xr:uid="{6BF859CF-3F36-CD4A-9862-CBFD18A4730E}"/>
    <hyperlink ref="F64" r:id="rId113" xr:uid="{6372729E-E37E-2B41-BB30-A3384ED4A23D}"/>
    <hyperlink ref="F126" r:id="rId114" xr:uid="{EF2C1DBB-1FFE-9F4F-A960-B3EE1CAA3372}"/>
    <hyperlink ref="F118" r:id="rId115" xr:uid="{ECCDADDD-626B-FB4E-944A-3D0BC8F4ED2D}"/>
    <hyperlink ref="F122" r:id="rId116" xr:uid="{CA4F6196-3381-724E-9186-53FB0E41B317}"/>
    <hyperlink ref="F89" r:id="rId117" xr:uid="{E42D16F3-1507-E846-8D65-A5A9A6538BA6}"/>
    <hyperlink ref="F90" r:id="rId118" xr:uid="{3643AB49-3D4C-B947-ADDE-76B8BA2714C6}"/>
    <hyperlink ref="F130" r:id="rId119" display="Drones fly over Danish military sites night of Friday 26 September, including Karup. Appears part of wave of drone incursions into Danish airspace, linked tangentially by authorities to Russia. Fits established pattern" xr:uid="{5751ABE2-06A1-9748-85E6-7259403837B7}"/>
    <hyperlink ref="F131" r:id="rId120" xr:uid="{70358112-25F3-4445-89DB-B4F92BB197AF}"/>
    <hyperlink ref="F132" r:id="rId121" display="Drones near Bardufoss and Bronnoysund airports in Norway, 28 September" xr:uid="{71CDEE74-ADAE-314F-94BA-4D36DB29B4DA}"/>
    <hyperlink ref="F129" r:id="rId122" xr:uid="{EF98871E-37CB-3C44-834F-B7581CB5966E}"/>
    <hyperlink ref="F127" r:id="rId123" xr:uid="{B11DE7AA-A9C0-E44D-9821-55002844D175}"/>
    <hyperlink ref="F124" r:id="rId124" xr:uid="{BBD34CC3-7FDE-1C4E-AE98-0834677FAE67}"/>
    <hyperlink ref="F125" r:id="rId125" display="Concrete skeletons with inscriptions left at Berlin's Brandenburg gate, appears antisemtic act perpetrated by Serbian nationals acting on behalf of Russia" xr:uid="{FA05BDA3-EA31-B44E-9E0B-3F32D2ED6199}"/>
    <hyperlink ref="F133" r:id="rId126" xr:uid="{741DB2D5-7D23-D649-9685-591C07A251A8}"/>
    <hyperlink ref="F137" r:id="rId127" xr:uid="{E4C6D617-B924-9049-BDD4-4EA8AFB6C706}"/>
    <hyperlink ref="F138" r:id="rId128" display="Polish authorities arrest 8 people on 21 October, with 3 of those individuals linked to new plot to send explosive / incendiary parcels through Poland and Romania to Ukraine. " xr:uid="{3488B674-4C3D-DE4B-BA44-DE2E0B2A10E0}"/>
    <hyperlink ref="F139" r:id="rId129" display="Night 28-29 October: multiple drones spotted above military base near Marche-en-Fammene in Belgium, HQ Belgian army. Base was scouted on Saturday 25 October as well by drones." xr:uid="{185D4C91-4AC4-5C4C-AC2E-28568394490F}"/>
    <hyperlink ref="F140" r:id="rId130" xr:uid="{CFA413C2-985D-864F-B107-7A04E78E3936}"/>
    <hyperlink ref="F142" r:id="rId131" display="Drones spotted over Kleine Brogel airbase in Belgium, night 1-2 November, also on 1 November. Grouping them to avoid flooding dataset with drone sightings tenuously linked to Russia" xr:uid="{0A691CC8-31F9-4E45-93BE-720EB815C284}"/>
    <hyperlink ref="F143" r:id="rId132" display="Drones spotted over Luik and Brussels airports, 4-5 November. Multiple flight cancellations, delays." xr:uid="{92CD3DA6-081B-6241-8FA1-8F00436A543E}"/>
    <hyperlink ref="F144" r:id="rId133" xr:uid="{D80253DA-1A8F-9F4B-86E2-6E10948145BC}"/>
    <hyperlink ref="F145" r:id="rId134" xr:uid="{26C6F665-55F9-7E42-8A84-C2E7794CCD07}"/>
    <hyperlink ref="F136" r:id="rId135" display="Munchen airport closed Thursday 2 and Friday 3 October due to drone sightings. No direct link to Russia can be established, but included as fitting pattern of drone sightings occuring late September-October 2025" xr:uid="{470EF0DD-79EF-FA4E-9E9B-A3F0AEF35A8F}"/>
    <hyperlink ref="F134" r:id="rId136" xr:uid="{E13EB031-AC80-2140-9D8B-A7280E9714DF}"/>
    <hyperlink ref="F146" r:id="rId137" xr:uid="{3BEC0104-4F85-554F-BB3B-8D88AAC3E122}"/>
    <hyperlink ref="F141" r:id="rId138" xr:uid="{C0602FA7-D2A7-EB4D-8E99-04C1BCD84796}"/>
    <hyperlink ref="F91" r:id="rId139" xr:uid="{293124A5-B814-4E49-BA61-4ED958F13BD4}"/>
    <hyperlink ref="F135" r:id="rId140" xr:uid="{2D32AE32-797F-B048-975E-51AD9385C5E7}"/>
    <hyperlink ref="F106" r:id="rId141" xr:uid="{B54D8F36-04A8-844B-8032-D4804A971972}"/>
    <hyperlink ref="F147" r:id="rId142" xr:uid="{565E894E-940D-6246-822F-F7A1F09498B0}"/>
    <hyperlink ref="P62" r:id="rId143" xr:uid="{CA4F2F20-42BA-EB48-A36E-017BFF25C972}"/>
  </hyperlinks>
  <pageMargins left="0.7" right="0.7" top="0.75" bottom="0.75" header="0.3" footer="0.3"/>
  <extLst>
    <ext xmlns:x14="http://schemas.microsoft.com/office/spreadsheetml/2009/9/main" uri="{CCE6A557-97BC-4b89-ADB6-D9C93CAAB3DF}">
      <x14:dataValidations xmlns:xm="http://schemas.microsoft.com/office/excel/2006/main" count="8">
        <x14:dataValidation type="list" allowBlank="1" showInputMessage="1" showErrorMessage="1" xr:uid="{491E33F0-6FBA-5542-A680-C645CA4B086B}">
          <x14:formula1>
            <xm:f>CategoricalVariables!$B$6:$E$6</xm:f>
          </x14:formula1>
          <xm:sqref>A51 A171:A1048576 A53:A100 A151:A167 A2:A49 A102:A126</xm:sqref>
        </x14:dataValidation>
        <x14:dataValidation type="list" allowBlank="1" showInputMessage="1" showErrorMessage="1" xr:uid="{2A23CB00-67CF-0B4F-9179-46709044144C}">
          <x14:formula1>
            <xm:f>CategoricalVariables!$B$6:$O$6</xm:f>
          </x14:formula1>
          <xm:sqref>A139:A150 A127:A136</xm:sqref>
        </x14:dataValidation>
        <x14:dataValidation type="list" allowBlank="1" showInputMessage="1" showErrorMessage="1" xr:uid="{4DC0B0B6-0E2F-9D47-874D-F00B85F08242}">
          <x14:formula1>
            <xm:f>CategoricalVariables!$B$7:$C$7</xm:f>
          </x14:formula1>
          <xm:sqref>O1:O1048576 C1:C1048576</xm:sqref>
        </x14:dataValidation>
        <x14:dataValidation type="list" allowBlank="1" showInputMessage="1" showErrorMessage="1" xr:uid="{140A14D5-9C76-E04B-BE52-BB3667D4E91D}">
          <x14:formula1>
            <xm:f>CategoricalVariables!$B$5:$O$5</xm:f>
          </x14:formula1>
          <xm:sqref>B1:B1048576</xm:sqref>
        </x14:dataValidation>
        <x14:dataValidation type="list" allowBlank="1" showInputMessage="1" showErrorMessage="1" xr:uid="{0A63D544-6853-8740-8350-BF4D2FF2CF8C}">
          <x14:formula1>
            <xm:f>CategoricalVariables!$B$8:$D$8</xm:f>
          </x14:formula1>
          <xm:sqref>N1:N1048576</xm:sqref>
        </x14:dataValidation>
        <x14:dataValidation type="list" allowBlank="1" showInputMessage="1" showErrorMessage="1" xr:uid="{75774D5D-18C7-9447-81F3-5C68C2C3C34B}">
          <x14:formula1>
            <xm:f>CategoricalVariables!$B$4:$Q$4</xm:f>
          </x14:formula1>
          <xm:sqref>L1:M1048576</xm:sqref>
        </x14:dataValidation>
        <x14:dataValidation type="list" allowBlank="1" showInputMessage="1" showErrorMessage="1" xr:uid="{87243D8C-7A14-D649-B4E9-E4A5A7D8498E}">
          <x14:formula1>
            <xm:f>CategoricalVariables!$B$2:$P$2</xm:f>
          </x14:formula1>
          <xm:sqref>H1:I1048576</xm:sqref>
        </x14:dataValidation>
        <x14:dataValidation type="list" allowBlank="1" showInputMessage="1" showErrorMessage="1" xr:uid="{7D9BA4C0-A023-0A45-869B-FB31E44FDA8A}">
          <x14:formula1>
            <xm:f>CategoricalVariables!$B$3:$O$3</xm:f>
          </x14:formula1>
          <xm:sqref>J1:K1048576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B3D4-36A3-124C-8A2E-7283294B392E}">
  <sheetPr codeName="Sheet3"/>
  <dimension ref="A1:AK51"/>
  <sheetViews>
    <sheetView topLeftCell="N1" zoomScale="136" workbookViewId="0">
      <selection activeCell="B49" sqref="B49"/>
    </sheetView>
  </sheetViews>
  <sheetFormatPr baseColWidth="10" defaultRowHeight="16" x14ac:dyDescent="0.2"/>
  <cols>
    <col min="2" max="2" width="28.83203125" bestFit="1" customWidth="1"/>
    <col min="3" max="3" width="16.5" bestFit="1" customWidth="1"/>
    <col min="4" max="4" width="13.33203125" style="13" bestFit="1" customWidth="1"/>
    <col min="5" max="5" width="13.33203125" style="13" customWidth="1"/>
    <col min="6" max="6" width="10.5" customWidth="1"/>
    <col min="7" max="7" width="27.1640625" bestFit="1" customWidth="1"/>
    <col min="9" max="9" width="16.6640625" bestFit="1" customWidth="1"/>
    <col min="14" max="14" width="47.83203125" bestFit="1" customWidth="1"/>
    <col min="21" max="21" width="63.1640625" bestFit="1" customWidth="1"/>
    <col min="23" max="23" width="14.1640625" bestFit="1" customWidth="1"/>
    <col min="28" max="28" width="36.33203125" bestFit="1" customWidth="1"/>
  </cols>
  <sheetData>
    <row r="1" spans="1:37" x14ac:dyDescent="0.2">
      <c r="A1" s="1" t="s">
        <v>36</v>
      </c>
      <c r="B1" s="1" t="s">
        <v>56</v>
      </c>
      <c r="C1" s="1" t="s">
        <v>381</v>
      </c>
      <c r="D1" s="1" t="s">
        <v>382</v>
      </c>
      <c r="E1" s="1"/>
      <c r="F1" s="1" t="s">
        <v>573</v>
      </c>
      <c r="G1" s="1" t="s">
        <v>580</v>
      </c>
      <c r="H1" s="1" t="s">
        <v>581</v>
      </c>
      <c r="I1" s="1" t="s">
        <v>579</v>
      </c>
      <c r="J1" s="1"/>
      <c r="K1" s="1" t="s">
        <v>60</v>
      </c>
      <c r="L1" s="1">
        <v>2022</v>
      </c>
      <c r="M1" s="1">
        <v>2023</v>
      </c>
      <c r="N1" s="1">
        <v>2024</v>
      </c>
      <c r="O1" s="1">
        <v>2025</v>
      </c>
      <c r="P1" s="1" t="s">
        <v>316</v>
      </c>
      <c r="Q1" s="1"/>
      <c r="R1" s="1" t="s">
        <v>149</v>
      </c>
      <c r="S1" s="1">
        <v>2022</v>
      </c>
      <c r="T1" s="1">
        <v>2023</v>
      </c>
      <c r="U1" s="1">
        <v>2024</v>
      </c>
      <c r="V1" s="1">
        <v>2025</v>
      </c>
      <c r="W1" s="1" t="s">
        <v>316</v>
      </c>
      <c r="Y1" s="1" t="s">
        <v>62</v>
      </c>
      <c r="Z1" s="1">
        <v>2022</v>
      </c>
      <c r="AA1" s="1">
        <v>2023</v>
      </c>
      <c r="AB1" s="1">
        <v>2024</v>
      </c>
      <c r="AC1" s="1">
        <v>2025</v>
      </c>
      <c r="AD1" s="1" t="s">
        <v>316</v>
      </c>
      <c r="AF1" s="1" t="s">
        <v>73</v>
      </c>
      <c r="AG1" s="1">
        <v>2022</v>
      </c>
      <c r="AH1" s="1">
        <v>2023</v>
      </c>
      <c r="AI1" s="1">
        <v>2024</v>
      </c>
      <c r="AJ1" s="1">
        <v>2025</v>
      </c>
      <c r="AK1" s="1" t="s">
        <v>316</v>
      </c>
    </row>
    <row r="2" spans="1:37" x14ac:dyDescent="0.2">
      <c r="A2">
        <v>2022</v>
      </c>
      <c r="B2">
        <f>COUNTIF(EventData!A:A, "2022")</f>
        <v>13</v>
      </c>
      <c r="C2">
        <f>COUNTIF(Excluded!A:A,"2022")</f>
        <v>11</v>
      </c>
      <c r="D2" s="13">
        <f>C2/(SUM(B2:C2))</f>
        <v>0.45833333333333331</v>
      </c>
      <c r="F2" s="6">
        <v>44562</v>
      </c>
      <c r="G2">
        <f>COUNTIFS(EventData!D:D,"&lt;=" &amp; EOMONTH(F2,0),EventData!E:E,"&gt;=" &amp; F2)</f>
        <v>1</v>
      </c>
      <c r="H2">
        <f>COUNTIFS(EventData!A:A,YEAR(F2),EventData!B:B,TEXT(F2,"mmmm"),EventData!C:C,"NO")</f>
        <v>0</v>
      </c>
      <c r="I2">
        <f>SUM(G2:H2)</f>
        <v>1</v>
      </c>
      <c r="K2" t="s">
        <v>147</v>
      </c>
      <c r="L2">
        <f>COUNTIFS(EventData!A:A,"2022",EventData!H:H,"*assassination*")+COUNTIFS(EventData!A:A,"2022",EventData!I:I,"*assassination*")</f>
        <v>0</v>
      </c>
      <c r="M2">
        <f>COUNTIFS(EventData!A:A,"2023",EventData!H:H,"*assassination*")+COUNTIFS(EventData!A:A,"2023",EventData!I:I,"*assassination*")</f>
        <v>0</v>
      </c>
      <c r="N2">
        <f>COUNTIFS(EventData!A:A,"2024",EventData!H:H,"*assassination*")+COUNTIFS(EventData!A:A,"2024",EventData!I:I,"*assassination*")</f>
        <v>3</v>
      </c>
      <c r="O2">
        <f>COUNTIFS(EventData!A:A,"2025",EventData!H:H,"*assassination*")+COUNTIFS(EventData!A:A,"2025",EventData!I:I,"*assassination*")</f>
        <v>0</v>
      </c>
      <c r="P2">
        <f t="shared" ref="P2:P11" si="0">SUM(L2:O2)</f>
        <v>3</v>
      </c>
      <c r="R2" t="s">
        <v>135</v>
      </c>
      <c r="S2">
        <f>COUNTIFS(EventData!A:A,"2022",EventData!J:J,"Dissuade defection")+COUNTIFS(EventData!A:A,"2022",EventData!K:K,"Dissuade defection")</f>
        <v>0</v>
      </c>
      <c r="T2">
        <f>COUNTIFS(EventData!A:A,"2023",EventData!J:J,"Dissuade defection")+COUNTIFS(EventData!A:A,"2023",EventData!K:K,"Dissuade defection")</f>
        <v>0</v>
      </c>
      <c r="U2">
        <f>COUNTIFS(EventData!A:A,"2024",EventData!J:J,"Dissuade defection")+COUNTIFS(EventData!A:A,"2024",EventData!K:K,"Dissuade defection")</f>
        <v>1</v>
      </c>
      <c r="V2">
        <f>COUNTIFS(EventData!A:A,"2025",EventData!J:J,"Dissuade defection")+COUNTIFS(EventData!A:A,"2025",EventData!K:K,"Dissuade defection")</f>
        <v>0</v>
      </c>
      <c r="W2">
        <f t="shared" ref="W2:W13" si="1">SUM(S2:V2)</f>
        <v>1</v>
      </c>
      <c r="Y2" t="s">
        <v>203</v>
      </c>
      <c r="Z2">
        <f>COUNTIFS(EventData!A:A,"2022",EventData!L:L,"industrialist(s)")+COUNTIFS(EventData!A:A,"2022",EventData!M:M,"industrialist(s)")</f>
        <v>0</v>
      </c>
      <c r="AA2">
        <f>COUNTIFS(EventData!A:A,"2023",EventData!L:L,"industrialist(s)")+COUNTIFS(EventData!A:A,"2023",EventData!M:M,"industrialist(s)")</f>
        <v>0</v>
      </c>
      <c r="AB2">
        <f>COUNTIFS(EventData!A:A,"2024",EventData!L:L,"industrialist(s)")+COUNTIFS(EventData!A:A,"2024",EventData!M:M,"industrialist(s)")</f>
        <v>1</v>
      </c>
      <c r="AC2">
        <f>COUNTIFS(EventData!A:A,"2025",EventData!L:L,"industrialist(s)")+COUNTIFS(EventData!A:A,"2025",EventData!M:M,"industrialist(s)")</f>
        <v>0</v>
      </c>
      <c r="AD2">
        <f t="shared" ref="AD2:AD15" si="2">SUM(Z2:AC2)</f>
        <v>1</v>
      </c>
      <c r="AF2" s="5" t="s">
        <v>35</v>
      </c>
      <c r="AG2">
        <f>COUNTIFS(EventData!A:A,"2022",EventData!G:G,"*germany*")</f>
        <v>6</v>
      </c>
      <c r="AH2">
        <f>COUNTIFS(EventData!A:A,"2023",EventData!G:G,"*germany*")</f>
        <v>6</v>
      </c>
      <c r="AI2">
        <f>COUNTIFS(EventData!A:A,"2024",EventData!G:G,"*germany*")</f>
        <v>14</v>
      </c>
      <c r="AJ2">
        <f>COUNTIFS(EventData!A:A,"2025",EventData!G:G,"*germany*")</f>
        <v>10</v>
      </c>
      <c r="AK2">
        <f t="shared" ref="AK2:AK25" si="3">SUM(AG2:AJ2)</f>
        <v>36</v>
      </c>
    </row>
    <row r="3" spans="1:37" x14ac:dyDescent="0.2">
      <c r="A3">
        <v>2023</v>
      </c>
      <c r="B3">
        <f>COUNTIF(EventData!A:A, "2023")</f>
        <v>24</v>
      </c>
      <c r="C3">
        <f>COUNTIF(Excluded!A:A,"2023")</f>
        <v>3</v>
      </c>
      <c r="D3" s="13">
        <f>C3/(SUM(B3:C3))</f>
        <v>0.1111111111111111</v>
      </c>
      <c r="F3" s="6">
        <v>44593</v>
      </c>
      <c r="G3">
        <f>COUNTIFS(EventData!D:D,"&lt;=" &amp; EOMONTH(F3,0),EventData!E:E,"&gt;=" &amp; F3)</f>
        <v>1</v>
      </c>
      <c r="H3">
        <f>COUNTIFS(EventData!A:A,YEAR(F3),EventData!B:B,TEXT(F3,"mmmm"),EventData!C:C,"NO")</f>
        <v>0</v>
      </c>
      <c r="I3">
        <f t="shared" ref="I3:I49" si="4">SUM(G3:H3)</f>
        <v>1</v>
      </c>
      <c r="K3" t="s">
        <v>15</v>
      </c>
      <c r="L3">
        <f>COUNTIFS(EventData!A:A,"2022",EventData!H:H,"*unknown*")+COUNTIFS(EventData!A:A,"2022",EventData!I:I,"*unknown*")</f>
        <v>0</v>
      </c>
      <c r="M3">
        <f>COUNTIFS(EventData!A:A,"2023",EventData!H:H,"*unknown*")+COUNTIFS(EventData!A:A,"2023",EventData!I:I,"*unknown*")</f>
        <v>0</v>
      </c>
      <c r="N3">
        <f>COUNTIFS(EventData!A:A,"2024",EventData!H:H,"*unknown*")+COUNTIFS(EventData!A:A,"2024",EventData!I:I,"*unknown*")</f>
        <v>2</v>
      </c>
      <c r="O3">
        <f>COUNTIFS(EventData!A:A,"2025",EventData!H:H,"*unknown*")+COUNTIFS(EventData!A:A,"2025",EventData!I:I,"*unknown*")</f>
        <v>2</v>
      </c>
      <c r="P3">
        <f t="shared" si="0"/>
        <v>4</v>
      </c>
      <c r="R3" t="s">
        <v>481</v>
      </c>
      <c r="S3">
        <f>COUNTIFS(EventData!A:A,"2022",EventData!J:J,"Kill politician*")+COUNTIFS(EventData!A:A,"2022",EventData!K:K,"Kill politician*")</f>
        <v>0</v>
      </c>
      <c r="T3">
        <f>COUNTIFS(EventData!A:A,"2023",EventData!J:J,"Kill politician*")+COUNTIFS(EventData!A:A,"2023",EventData!K:K,"Kill politician*")</f>
        <v>0</v>
      </c>
      <c r="U3">
        <f>COUNTIFS(EventData!A:A,"2024",EventData!J:J,"Kill politician*")+COUNTIFS(EventData!A:A,"2024",EventData!K:K,"Kill politician*")</f>
        <v>1</v>
      </c>
      <c r="V3">
        <f>COUNTIFS(EventData!A:A,"2025",EventData!J:J,"Kill politician*")+COUNTIFS(EventData!A:A,"2025",EventData!K:K,"Kill politician*")</f>
        <v>0</v>
      </c>
      <c r="W3">
        <f t="shared" si="1"/>
        <v>1</v>
      </c>
      <c r="Y3" t="s">
        <v>205</v>
      </c>
      <c r="Z3">
        <f>COUNTIFS(EventData!A:A,"2022",EventData!L:L,"defector(s)")+COUNTIFS(EventData!A:A,"2022",EventData!M:M,"defector(s)")</f>
        <v>0</v>
      </c>
      <c r="AA3">
        <f>COUNTIFS(EventData!A:A,"2023",EventData!L:L,"defector(s)")+COUNTIFS(EventData!A:A,"2023",EventData!M:M,"defector(s)")</f>
        <v>0</v>
      </c>
      <c r="AB3">
        <f>COUNTIFS(EventData!A:A,"2024",EventData!L:L,"defector(s)")+COUNTIFS(EventData!A:A,"2024",EventData!M:M,"defector(s)")</f>
        <v>1</v>
      </c>
      <c r="AC3">
        <f>COUNTIFS(EventData!A:A,"2025",EventData!L:L,"defector(s)")+COUNTIFS(EventData!A:A,"2025",EventData!M:M,"defector(s)")</f>
        <v>0</v>
      </c>
      <c r="AD3">
        <f t="shared" si="2"/>
        <v>1</v>
      </c>
      <c r="AF3" s="5" t="s">
        <v>43</v>
      </c>
      <c r="AG3">
        <f>COUNTIFS(EventData!A:A,"2022",EventData!G:G,"*poland*")</f>
        <v>1</v>
      </c>
      <c r="AH3">
        <f>COUNTIFS(EventData!A:A,"2023",EventData!G:G,"*poland*")</f>
        <v>4</v>
      </c>
      <c r="AI3">
        <f>COUNTIFS(EventData!A:A,"2024",EventData!G:G,"*poland*")</f>
        <v>17</v>
      </c>
      <c r="AJ3">
        <f>COUNTIFS(EventData!A:A,"2025",EventData!G:G,"*poland*")</f>
        <v>8</v>
      </c>
      <c r="AK3">
        <f t="shared" si="3"/>
        <v>30</v>
      </c>
    </row>
    <row r="4" spans="1:37" x14ac:dyDescent="0.2">
      <c r="A4">
        <v>2024</v>
      </c>
      <c r="B4">
        <f>COUNTIF(EventData!A:A, "2024")</f>
        <v>69</v>
      </c>
      <c r="C4">
        <f>COUNTIF(Excluded!A:A,"2024")</f>
        <v>25</v>
      </c>
      <c r="D4" s="13">
        <f>C4/(SUM(B4:C4))</f>
        <v>0.26595744680851063</v>
      </c>
      <c r="F4" s="6">
        <v>44621</v>
      </c>
      <c r="G4">
        <f>COUNTIFS(EventData!D:D,"&lt;=" &amp; EOMONTH(F4,0),EventData!E:E,"&gt;=" &amp; F4)</f>
        <v>2</v>
      </c>
      <c r="H4">
        <f>COUNTIFS(EventData!A:A,YEAR(F4),EventData!B:B,TEXT(F4,"mmmm"),EventData!C:C,"NO")</f>
        <v>0</v>
      </c>
      <c r="I4">
        <f t="shared" si="4"/>
        <v>2</v>
      </c>
      <c r="K4" t="s">
        <v>127</v>
      </c>
      <c r="L4">
        <f>COUNTIFS(EventData!A:A,"2022",EventData!H:H,"*immigration*")+COUNTIFS(EventData!A:A,"2022",EventData!I:I,"*immigration*")</f>
        <v>0</v>
      </c>
      <c r="M4">
        <f>COUNTIFS(EventData!A:A,"2023",EventData!H:H,"*immigration*")+COUNTIFS(EventData!A:A,"2023",EventData!I:I,"*immigration*")</f>
        <v>3</v>
      </c>
      <c r="N4">
        <f>COUNTIFS(EventData!A:A,"2024",EventData!H:H,"*immigration*")+COUNTIFS(EventData!A:A,"2024",EventData!I:I,"*immigration*")</f>
        <v>1</v>
      </c>
      <c r="O4">
        <f>COUNTIFS(EventData!A:A,"2025",EventData!H:H,"*immigration*")+COUNTIFS(EventData!A:A,"2025",EventData!I:I,"*immigration*")</f>
        <v>1</v>
      </c>
      <c r="P4">
        <f t="shared" si="0"/>
        <v>5</v>
      </c>
      <c r="R4" t="s">
        <v>132</v>
      </c>
      <c r="S4">
        <f>COUNTIFS(EventData!A:A,"2022",EventData!J:J,"Degrade military infrastructure")+COUNTIFS(EventData!A:A,"2022",EventData!K:K,"Degrade military infrastructure")</f>
        <v>0</v>
      </c>
      <c r="T4">
        <f>COUNTIFS(EventData!A:A,"2023",EventData!J:J,"Degrade military infrastructure")+COUNTIFS(EventData!A:A,"2023",EventData!K:K,"Degrade military infrastructure")</f>
        <v>1</v>
      </c>
      <c r="U4">
        <f>COUNTIFS(EventData!A:A,"2024",EventData!J:J,"Degrade military infrastructure")+COUNTIFS(EventData!A:A,"2024",EventData!K:K,"Degrade military infrastructure")</f>
        <v>0</v>
      </c>
      <c r="V4">
        <f>COUNTIFS(EventData!A:A,"2025",EventData!J:J,"Degrade military infrastructure")+COUNTIFS(EventData!A:A,"2025",EventData!K:K,"Degrade military infrastructure")</f>
        <v>1</v>
      </c>
      <c r="W4">
        <f t="shared" si="1"/>
        <v>2</v>
      </c>
      <c r="Y4" t="s">
        <v>204</v>
      </c>
      <c r="Z4">
        <f>COUNTIFS(EventData!A:A,"2022",EventData!L:L,"journalist(s)")+COUNTIFS(EventData!A:A,"2022",EventData!M:M,"journalist(s)")</f>
        <v>0</v>
      </c>
      <c r="AA4">
        <f>COUNTIFS(EventData!A:A,"2023",EventData!L:L,"journalist(s)")+COUNTIFS(EventData!A:A,"2023",EventData!M:M,"journalist(s)")</f>
        <v>1</v>
      </c>
      <c r="AB4">
        <f>COUNTIFS(EventData!A:A,"2024",EventData!L:L,"journalist(s)")+COUNTIFS(EventData!A:A,"2024",EventData!M:M,"journalist(s)")</f>
        <v>0</v>
      </c>
      <c r="AC4">
        <f>COUNTIFS(EventData!A:A,"2025",EventData!L:L,"journalist(s)")+COUNTIFS(EventData!A:A,"2025",EventData!M:M,"journalist(s)")</f>
        <v>0</v>
      </c>
      <c r="AD4">
        <f t="shared" si="2"/>
        <v>1</v>
      </c>
      <c r="AF4" s="5" t="s">
        <v>98</v>
      </c>
      <c r="AG4" s="2">
        <f>COUNTIFS(EventData!A:A,"2022",EventData!G:G,"*france*")</f>
        <v>2</v>
      </c>
      <c r="AH4" s="2">
        <f>COUNTIFS(EventData!A:A,"2023",EventData!G:G,"*france*")</f>
        <v>7</v>
      </c>
      <c r="AI4" s="2">
        <f>COUNTIFS(EventData!A:A,"2024",EventData!G:G,"*france*")</f>
        <v>14</v>
      </c>
      <c r="AJ4" s="2">
        <f>COUNTIFS(EventData!A:A,"2025",EventData!G:G,"*france*")</f>
        <v>6</v>
      </c>
      <c r="AK4">
        <f t="shared" si="3"/>
        <v>29</v>
      </c>
    </row>
    <row r="5" spans="1:37" x14ac:dyDescent="0.2">
      <c r="A5">
        <v>2025</v>
      </c>
      <c r="B5">
        <f>COUNTIF(EventData!A:A, "2025")</f>
        <v>40</v>
      </c>
      <c r="C5">
        <f>COUNTIF(Excluded!A:A,"2025")</f>
        <v>39</v>
      </c>
      <c r="D5" s="13">
        <f>C5/(SUM(B5:C5))</f>
        <v>0.49367088607594939</v>
      </c>
      <c r="F5" s="6">
        <v>44652</v>
      </c>
      <c r="G5">
        <f>COUNTIFS(EventData!D:D,"&lt;=" &amp; EOMONTH(F5,0),EventData!E:E,"&gt;=" &amp; F5)</f>
        <v>2</v>
      </c>
      <c r="H5">
        <f>COUNTIFS(EventData!A:A,YEAR(F5),EventData!B:B,TEXT(F5,"mmmm"),EventData!C:C,"NO")</f>
        <v>2</v>
      </c>
      <c r="I5">
        <f t="shared" si="4"/>
        <v>4</v>
      </c>
      <c r="K5" t="s">
        <v>327</v>
      </c>
      <c r="L5">
        <f>COUNTIFS(EventData!A:A,"2022",EventData!H:H,"*terrorism*")+COUNTIFS(EventData!A:A,"2022",EventData!I:I,"*terrorism*")</f>
        <v>1</v>
      </c>
      <c r="M5">
        <f>COUNTIFS(EventData!A:A,"2023",EventData!H:H,"*terrorism*")+COUNTIFS(EventData!A:A,"2023",EventData!I:I,"*terrorism*")</f>
        <v>1</v>
      </c>
      <c r="N5">
        <f>COUNTIFS(EventData!A:A,"2024",EventData!H:H,"*terrorism*")+COUNTIFS(EventData!A:A,"2024",EventData!I:I,"*terrorism*")</f>
        <v>5</v>
      </c>
      <c r="O5">
        <f>COUNTIFS(EventData!A:A,"2025",EventData!H:H,"*terrorism*")+COUNTIFS(EventData!A:A,"2025",EventData!I:I,"*terrorism*")</f>
        <v>2</v>
      </c>
      <c r="P5">
        <f t="shared" si="0"/>
        <v>9</v>
      </c>
      <c r="R5" t="s">
        <v>474</v>
      </c>
      <c r="S5">
        <f>COUNTIFS(EventData!A:A,"2022",EventData!J:J,"*intimidate*")+COUNTIFS(EventData!A:A,"2022",EventData!K:K,"*intimidate*")</f>
        <v>0</v>
      </c>
      <c r="T5">
        <f>COUNTIFS(EventData!A:A,"2023",EventData!J:J,"*intimidate*")+COUNTIFS(EventData!A:A,"2023",EventData!K:K,"*intimidate*")</f>
        <v>2</v>
      </c>
      <c r="U5">
        <f>COUNTIFS(EventData!A:A,"2024",EventData!J:J,"*intimidate*")+COUNTIFS(EventData!A:A,"2024",EventData!K:K,"*intimidate*")</f>
        <v>0</v>
      </c>
      <c r="V5">
        <f>COUNTIFS(EventData!A:A,"2025",EventData!J:J,"*intimidate*")+COUNTIFS(EventData!A:A,"2025",EventData!K:K,"*intimidate*")</f>
        <v>1</v>
      </c>
      <c r="W5">
        <f t="shared" si="1"/>
        <v>3</v>
      </c>
      <c r="Y5" t="s">
        <v>437</v>
      </c>
      <c r="Z5" s="2">
        <f>COUNTIFS(EventData!A:A,"2022",EventData!L:L,"*economic infra*")+COUNTIFS(EventData!A:A,"2022",EventData!M:M,"*economic infra*")</f>
        <v>0</v>
      </c>
      <c r="AA5" s="2">
        <f>COUNTIFS(EventData!A:A,"2023",EventData!L:L,"*economic infra*")+COUNTIFS(EventData!A:A,"2023",EventData!M:M,"*economic infra*")</f>
        <v>0</v>
      </c>
      <c r="AB5" s="2">
        <f>COUNTIFS(EventData!A:A,"2024",EventData!L:L,"*economic infra*")+COUNTIFS(EventData!A:A,"2024",EventData!M:M,"*economic infra*")</f>
        <v>0</v>
      </c>
      <c r="AC5" s="2">
        <f>COUNTIFS(EventData!A:A,"2025",EventData!L:L,"*economic infra*")+COUNTIFS(EventData!A:A,"2025",EventData!M:M,"*economic infra*")</f>
        <v>1</v>
      </c>
      <c r="AD5" s="2">
        <f t="shared" si="2"/>
        <v>1</v>
      </c>
      <c r="AF5" s="5" t="s">
        <v>317</v>
      </c>
      <c r="AG5">
        <f>COUNTIFS(EventData!A:A,"2022",EventData!G:G,"*netherlands*")</f>
        <v>1</v>
      </c>
      <c r="AH5">
        <f>COUNTIFS(EventData!A:A,"2023",EventData!G:G,"*netherlands*")</f>
        <v>4</v>
      </c>
      <c r="AI5">
        <f>COUNTIFS(EventData!A:A,"2024",EventData!G:G,"*netherlands*")</f>
        <v>7</v>
      </c>
      <c r="AJ5">
        <f>COUNTIFS(EventData!A:A,"2025",EventData!G:G,"*netherlands*")</f>
        <v>3</v>
      </c>
      <c r="AK5">
        <f t="shared" si="3"/>
        <v>15</v>
      </c>
    </row>
    <row r="6" spans="1:37" x14ac:dyDescent="0.2">
      <c r="A6" s="1" t="s">
        <v>316</v>
      </c>
      <c r="B6" s="1">
        <f>SUM(B2:B5)</f>
        <v>146</v>
      </c>
      <c r="C6" s="15">
        <f>SUM(C2:C5)</f>
        <v>78</v>
      </c>
      <c r="D6" s="16">
        <f>C6/(SUM(B6:C6))</f>
        <v>0.3482142857142857</v>
      </c>
      <c r="E6" s="16"/>
      <c r="F6" s="6">
        <v>44682</v>
      </c>
      <c r="G6">
        <f>COUNTIFS(EventData!D:D,"&lt;=" &amp; EOMONTH(F6,0),EventData!E:E,"&gt;=" &amp; F6)</f>
        <v>3</v>
      </c>
      <c r="H6">
        <f>COUNTIFS(EventData!A:A,YEAR(F6),EventData!B:B,TEXT(F6,"mmmm"),EventData!C:C,"NO")</f>
        <v>1</v>
      </c>
      <c r="I6">
        <f t="shared" si="4"/>
        <v>4</v>
      </c>
      <c r="K6" t="s">
        <v>82</v>
      </c>
      <c r="L6">
        <f>COUNTIFS(EventData!A:A,"2022",EventData!H:H,"*vandalism*")+COUNTIFS(EventData!A:A,"2022",EventData!I:I,"*vandalism*")</f>
        <v>1</v>
      </c>
      <c r="M6">
        <f>COUNTIFS(EventData!A:A,"2023",EventData!H:H,"*vandalism*")+COUNTIFS(EventData!A:A,"2023",EventData!I:I,"*vandalism*")</f>
        <v>4</v>
      </c>
      <c r="N6">
        <f>COUNTIFS(EventData!A:A,"2024",EventData!H:H,"*vandalism*")+COUNTIFS(EventData!A:A,"2024",EventData!I:I,"*vandalism*")</f>
        <v>6</v>
      </c>
      <c r="O6">
        <f>COUNTIFS(EventData!A:A,"2025",EventData!H:H,"*vandalism*")+COUNTIFS(EventData!A:A,"2025",EventData!I:I,"*vandalism*")</f>
        <v>1</v>
      </c>
      <c r="P6">
        <f t="shared" si="0"/>
        <v>12</v>
      </c>
      <c r="R6" t="s">
        <v>139</v>
      </c>
      <c r="S6">
        <f>COUNTIFS(EventData!A:A,"2022",EventData!J:J,"Compromise public utilities")+COUNTIFS(EventData!A:A,"2022",EventData!K:K,"Compromise public utilities")</f>
        <v>0</v>
      </c>
      <c r="T6">
        <f>COUNTIFS(EventData!A:A,"2023",EventData!J:J,"Compromise public utilities")+COUNTIFS(EventData!A:A,"2023",EventData!K:K,"Compromise public utilities")</f>
        <v>0</v>
      </c>
      <c r="U6">
        <f>COUNTIFS(EventData!A:A,"2024",EventData!J:J,"Compromise public utilities")+COUNTIFS(EventData!A:A,"2024",EventData!K:K,"Compromise public utilities")</f>
        <v>3</v>
      </c>
      <c r="V6">
        <f>COUNTIFS(EventData!A:A,"2025",EventData!J:J,"Compromise public utilities")+COUNTIFS(EventData!A:A,"2025",EventData!K:K,"Compromise public utilities")</f>
        <v>1</v>
      </c>
      <c r="W6">
        <f t="shared" si="1"/>
        <v>4</v>
      </c>
      <c r="Y6" t="s">
        <v>45</v>
      </c>
      <c r="Z6">
        <f>COUNTIFS(EventData!A:A,"2022",EventData!L:L,"Arms deliveries to Ukraine")+COUNTIFS(EventData!A:A,"2022",EventData!M:M,"Arms deliveries to Ukraine")</f>
        <v>0</v>
      </c>
      <c r="AA6">
        <f>COUNTIFS(EventData!A:A,"2023",EventData!L:L,"Arms deliveries to Ukraine")+COUNTIFS(EventData!A:A,"2023",EventData!M:M,"Arms deliveries to Ukraine")</f>
        <v>0</v>
      </c>
      <c r="AB6">
        <f>COUNTIFS(EventData!A:A,"2024",EventData!L:L,"Arms deliveries to Ukraine")+COUNTIFS(EventData!A:A,"2024",EventData!M:M,"Arms deliveries to Ukraine")</f>
        <v>1</v>
      </c>
      <c r="AC6">
        <f>COUNTIFS(EventData!A:A,"2025",EventData!L:L,"Arms deliveries to Ukraine")+COUNTIFS(EventData!A:A,"2025",EventData!M:M,"Arms deliveries to Ukraine")</f>
        <v>1</v>
      </c>
      <c r="AD6">
        <f t="shared" si="2"/>
        <v>2</v>
      </c>
      <c r="AF6" s="5" t="s">
        <v>48</v>
      </c>
      <c r="AG6">
        <f>COUNTIFS(EventData!A:A,"2022",EventData!G:G,"*united kingdom*")</f>
        <v>2</v>
      </c>
      <c r="AH6">
        <f>COUNTIFS(EventData!A:A,"2023",EventData!G:G,"*united kingdom*")</f>
        <v>2</v>
      </c>
      <c r="AI6">
        <f>COUNTIFS(EventData!A:A,"2024",EventData!G:G,"*united kingdom*")</f>
        <v>4</v>
      </c>
      <c r="AJ6" s="2">
        <f>COUNTIFS(EventData!A:A,"2025",EventData!G:G,"*united kingdom*")</f>
        <v>3</v>
      </c>
      <c r="AK6">
        <f t="shared" si="3"/>
        <v>11</v>
      </c>
    </row>
    <row r="7" spans="1:37" x14ac:dyDescent="0.2">
      <c r="C7" s="5"/>
      <c r="F7" s="6">
        <v>44713</v>
      </c>
      <c r="G7">
        <f>COUNTIFS(EventData!D:D,"&lt;=" &amp; EOMONTH(F7,0),EventData!E:E,"&gt;=" &amp; F7)</f>
        <v>4</v>
      </c>
      <c r="H7">
        <f>COUNTIFS(EventData!A:A,YEAR(F7),EventData!B:B,TEXT(F7,"mmmm"),EventData!C:C,"NO")</f>
        <v>0</v>
      </c>
      <c r="I7">
        <f t="shared" si="4"/>
        <v>4</v>
      </c>
      <c r="K7" t="s">
        <v>473</v>
      </c>
      <c r="L7">
        <f>COUNTIFS(EventData!A:A,"2022",EventData!H:H,"disruption")+COUNTIFS(EventData!A:A,"2022",EventData!I:I,"disruption")</f>
        <v>1</v>
      </c>
      <c r="M7">
        <f>COUNTIFS(EventData!A:A,"2023",EventData!H:H,"disruption")+COUNTIFS(EventData!A:A,"2023",EventData!I:I,"disruption")</f>
        <v>1</v>
      </c>
      <c r="N7">
        <f>COUNTIFS(EventData!A:A,"2024",EventData!H:H,"disruption")+COUNTIFS(EventData!A:A,"2024",EventData!I:I,"disruption")</f>
        <v>2</v>
      </c>
      <c r="O7">
        <f>COUNTIFS(EventData!A:A,"2025",EventData!H:H,"disruption")+COUNTIFS(EventData!A:A,"2025",EventData!I:I,"disruption")</f>
        <v>9</v>
      </c>
      <c r="P7">
        <f t="shared" si="0"/>
        <v>13</v>
      </c>
      <c r="R7" t="s">
        <v>146</v>
      </c>
      <c r="S7">
        <f>COUNTIFS(EventData!A:A,"2022",EventData!J:J,"Degrade energy supply / communications infrastructure")+COUNTIFS(EventData!A:A,"2022",EventData!K:K,"Degrade energy supply / communications infrastructure")</f>
        <v>0</v>
      </c>
      <c r="T7">
        <f>COUNTIFS(EventData!A:A,"2023",EventData!J:J,"Degrade energy supply / communications infrastructure")+COUNTIFS(EventData!A:A,"2023",EventData!K:K,"Degrade energy supply / communications infrastructure")</f>
        <v>1</v>
      </c>
      <c r="U7">
        <f>COUNTIFS(EventData!A:A,"2024",EventData!J:J,"Degrade energy supply / communications infrastructure")+COUNTIFS(EventData!A:A,"2024",EventData!K:K,"Degrade energy supply / communications infrastructure")</f>
        <v>3</v>
      </c>
      <c r="V7">
        <f>COUNTIFS(EventData!A:A,"2025",EventData!J:J,"Degrade energy supply / communications infrastructure")+COUNTIFS(EventData!A:A,"2025",EventData!K:K,"Degrade energy supply / communications infrastructure")</f>
        <v>2</v>
      </c>
      <c r="W7">
        <f t="shared" si="1"/>
        <v>6</v>
      </c>
      <c r="Y7" t="s">
        <v>33</v>
      </c>
      <c r="Z7">
        <f>COUNTIFS(EventData!A:A,"2022",EventData!L:L,"Border")+COUNTIFS(EventData!A:A,"2022",EventData!M:M,"Border")</f>
        <v>0</v>
      </c>
      <c r="AA7">
        <f>COUNTIFS(EventData!A:A,"2023",EventData!L:L,"Border")+COUNTIFS(EventData!A:A,"2023",EventData!M:M,"Border")</f>
        <v>3</v>
      </c>
      <c r="AB7">
        <f>COUNTIFS(EventData!A:A,"2024",EventData!L:L,"Border")+COUNTIFS(EventData!A:A,"2024",EventData!M:M,"Border")</f>
        <v>2</v>
      </c>
      <c r="AC7">
        <f>COUNTIFS(EventData!A:A,"2025",EventData!L:L,"Border")+COUNTIFS(EventData!A:A,"2025",EventData!M:M,"Border")</f>
        <v>1</v>
      </c>
      <c r="AD7">
        <f t="shared" si="2"/>
        <v>6</v>
      </c>
      <c r="AF7" s="5" t="s">
        <v>72</v>
      </c>
      <c r="AG7">
        <f>COUNTIFS(EventData!A:A,"2022",EventData!G:G,"*latvia*")</f>
        <v>2</v>
      </c>
      <c r="AH7">
        <f>COUNTIFS(EventData!A:A,"2023",EventData!G:G,"*latvia*")</f>
        <v>4</v>
      </c>
      <c r="AI7">
        <f>COUNTIFS(EventData!A:A,"2024",EventData!G:G,"*latvia*")</f>
        <v>3</v>
      </c>
      <c r="AJ7">
        <f>COUNTIFS(EventData!A:A,"2025",EventData!G:G,"*latvia*")</f>
        <v>2</v>
      </c>
      <c r="AK7">
        <f t="shared" si="3"/>
        <v>11</v>
      </c>
    </row>
    <row r="8" spans="1:37" x14ac:dyDescent="0.2">
      <c r="F8" s="6">
        <v>44743</v>
      </c>
      <c r="G8">
        <f>COUNTIFS(EventData!D:D,"&lt;=" &amp; EOMONTH(F8,0),EventData!E:E,"&gt;=" &amp; F8)</f>
        <v>4</v>
      </c>
      <c r="H8">
        <f>COUNTIFS(EventData!A:A,YEAR(F8),EventData!B:B,TEXT(F8,"mmmm"),EventData!C:C,"NO")</f>
        <v>1</v>
      </c>
      <c r="I8">
        <f t="shared" si="4"/>
        <v>5</v>
      </c>
      <c r="K8" t="s">
        <v>476</v>
      </c>
      <c r="L8">
        <f>COUNTIFS(EventData!A:A,"2022",EventData!H:H,"arson")+COUNTIFS(EventData!A:A,"2022",EventData!I:I,"arson")</f>
        <v>0</v>
      </c>
      <c r="M8">
        <f>COUNTIFS(EventData!A:A,"2023",EventData!H:H,"arson")+COUNTIFS(EventData!A:A,"2023",EventData!I:I,"arson")</f>
        <v>0</v>
      </c>
      <c r="N8">
        <f>COUNTIFS(EventData!A:A,"2024",EventData!H:H,"arson")+COUNTIFS(EventData!A:A,"2024",EventData!I:I,"arson")</f>
        <v>13</v>
      </c>
      <c r="O8">
        <f>COUNTIFS(EventData!A:A,"2025",EventData!H:H,"arson")+COUNTIFS(EventData!A:A,"2025",EventData!I:I,"arson")</f>
        <v>1</v>
      </c>
      <c r="P8">
        <f t="shared" si="0"/>
        <v>14</v>
      </c>
      <c r="R8" t="s">
        <v>134</v>
      </c>
      <c r="S8">
        <f>COUNTIFS(EventData!A:A,"2022",EventData!J:J,"Disrupt (civil) aviation")+COUNTIFS(EventData!A:A,"2022",EventData!K:K,"Disrupt (civil) aviation")</f>
        <v>1</v>
      </c>
      <c r="T8">
        <f>COUNTIFS(EventData!A:A,"2023",EventData!J:J,"Disrupt (civil) aviation")+COUNTIFS(EventData!A:A,"2023",EventData!K:K,"Disrupt (civil) aviation")</f>
        <v>1</v>
      </c>
      <c r="U8">
        <f>COUNTIFS(EventData!A:A,"2024",EventData!J:J,"Disrupt (civil) aviation")+COUNTIFS(EventData!A:A,"2024",EventData!K:K,"Disrupt (civil) aviation")</f>
        <v>2</v>
      </c>
      <c r="V8">
        <f>COUNTIFS(EventData!A:A,"2025",EventData!J:J,"Disrupt (civil) aviation")+COUNTIFS(EventData!A:A,"2025",EventData!K:K,"Disrupt (civil) aviation")</f>
        <v>7</v>
      </c>
      <c r="W8">
        <f t="shared" si="1"/>
        <v>11</v>
      </c>
      <c r="Y8" t="s">
        <v>55</v>
      </c>
      <c r="Z8">
        <f>COUNTIFS(EventData!A:A,"2022",EventData!L:L,"Transport infrastructure")+COUNTIFS(EventData!A:A,"2022",EventData!M:M,"Transport infrastructure")</f>
        <v>0</v>
      </c>
      <c r="AA8">
        <f>COUNTIFS(EventData!A:A,"2023",EventData!L:L,"Transport infrastructure")+COUNTIFS(EventData!A:A,"2023",EventData!M:M,"Transport infrastructure")</f>
        <v>1</v>
      </c>
      <c r="AB8">
        <f>COUNTIFS(EventData!A:A,"2024",EventData!L:L,"Transport infrastructure")+COUNTIFS(EventData!A:A,"2024",EventData!M:M,"Transport infrastructure")</f>
        <v>6</v>
      </c>
      <c r="AC8">
        <f>COUNTIFS(EventData!A:A,"2025",EventData!L:L,"Transport infrastructure")+COUNTIFS(EventData!A:A,"2025",EventData!M:M,"Transport infrastructure")</f>
        <v>1</v>
      </c>
      <c r="AD8">
        <f t="shared" si="2"/>
        <v>8</v>
      </c>
      <c r="AF8" s="5" t="s">
        <v>12</v>
      </c>
      <c r="AG8">
        <f>COUNTIFS(EventData!A:A,"2022",EventData!G:G,"*baltic sea*")</f>
        <v>1</v>
      </c>
      <c r="AH8">
        <f>COUNTIFS(EventData!A:A,"2023",EventData!G:G,"*baltic sea*")</f>
        <v>3</v>
      </c>
      <c r="AI8">
        <f>COUNTIFS(EventData!A:A,"2024",EventData!G:G,"*baltic sea*")</f>
        <v>4</v>
      </c>
      <c r="AJ8">
        <f>COUNTIFS(EventData!A:A,"2025",EventData!G:G,"*baltic sea*")</f>
        <v>2</v>
      </c>
      <c r="AK8">
        <f t="shared" si="3"/>
        <v>10</v>
      </c>
    </row>
    <row r="9" spans="1:37" x14ac:dyDescent="0.2">
      <c r="F9" s="6">
        <v>44774</v>
      </c>
      <c r="G9">
        <f>COUNTIFS(EventData!D:D,"&lt;=" &amp; EOMONTH(F9,0),EventData!E:E,"&gt;=" &amp; F9)</f>
        <v>4</v>
      </c>
      <c r="H9">
        <f>COUNTIFS(EventData!A:A,YEAR(F9),EventData!B:B,TEXT(F9,"mmmm"),EventData!C:C,"NO")</f>
        <v>0</v>
      </c>
      <c r="I9">
        <f t="shared" si="4"/>
        <v>4</v>
      </c>
      <c r="K9" t="s">
        <v>487</v>
      </c>
      <c r="L9">
        <f>COUNTIFS(EventData!A:A,"2022",EventData!H:H,"*recon*")+COUNTIFS(EventData!A:A,"2022",EventData!I:I,"*recon*")</f>
        <v>4</v>
      </c>
      <c r="M9">
        <f>COUNTIFS(EventData!A:A,"2023",EventData!H:H,"*recon*")+COUNTIFS(EventData!A:A,"2023",EventData!I:I,"*recon*")</f>
        <v>1</v>
      </c>
      <c r="N9">
        <f>COUNTIFS(EventData!A:A,"2024",EventData!H:H,"*recon*")+COUNTIFS(EventData!A:A,"2024",EventData!I:I,"*recon*")</f>
        <v>6</v>
      </c>
      <c r="O9">
        <f>COUNTIFS(EventData!A:A,"2025",EventData!H:H,"*recon*")+COUNTIFS(EventData!A:A,"2025",EventData!I:I,"*recon*")</f>
        <v>7</v>
      </c>
      <c r="P9">
        <f t="shared" si="0"/>
        <v>18</v>
      </c>
      <c r="R9" t="s">
        <v>128</v>
      </c>
      <c r="S9">
        <f>COUNTIFS(EventData!A:A,"2022",EventData!J:J,"Inflict economic damage")+COUNTIFS(EventData!A:A,"2022",EventData!K:K,"Inflict economic damage")</f>
        <v>0</v>
      </c>
      <c r="T9">
        <f>COUNTIFS(EventData!A:A,"2023",EventData!J:J,"Inflict economic damage")+COUNTIFS(EventData!A:A,"2023",EventData!K:K,"Inflict economic damage")</f>
        <v>0</v>
      </c>
      <c r="U9">
        <f>COUNTIFS(EventData!A:A,"2024",EventData!J:J,"Inflict economic damage")+COUNTIFS(EventData!A:A,"2024",EventData!K:K,"Inflict economic damage")</f>
        <v>12</v>
      </c>
      <c r="V9">
        <f>COUNTIFS(EventData!A:A,"2025",EventData!J:J,"Inflict economic damage")+COUNTIFS(EventData!A:A,"2025",EventData!K:K,"Inflict economic damage")</f>
        <v>1</v>
      </c>
      <c r="W9">
        <f t="shared" si="1"/>
        <v>13</v>
      </c>
      <c r="Y9" t="s">
        <v>202</v>
      </c>
      <c r="Z9">
        <f>COUNTIFS(EventData!A:A,"2022",EventData!L:L,"politician(s)")+COUNTIFS(EventData!A:A,"2022",EventData!M:M,"politician(s)")</f>
        <v>1</v>
      </c>
      <c r="AA9">
        <f>COUNTIFS(EventData!A:A,"2023",EventData!L:L,"politician(s)")+COUNTIFS(EventData!A:A,"2023",EventData!M:M,"politician(s)")</f>
        <v>4</v>
      </c>
      <c r="AB9">
        <f>COUNTIFS(EventData!A:A,"2024",EventData!L:L,"politician(s)")+COUNTIFS(EventData!A:A,"2024",EventData!M:M,"politician(s)")</f>
        <v>4</v>
      </c>
      <c r="AC9">
        <f>COUNTIFS(EventData!A:A,"2025",EventData!L:L,"politician(s)")+COUNTIFS(EventData!A:A,"2025",EventData!M:M,"politician(s)")</f>
        <v>0</v>
      </c>
      <c r="AD9">
        <f t="shared" si="2"/>
        <v>9</v>
      </c>
      <c r="AF9" s="5" t="s">
        <v>77</v>
      </c>
      <c r="AG9" s="2">
        <f>COUNTIFS(EventData!A:A,"2022",EventData!G:G,"*estonia*")</f>
        <v>1</v>
      </c>
      <c r="AH9" s="2">
        <f>COUNTIFS(EventData!A:A,"2023",EventData!G:G,"*estonia*")</f>
        <v>5</v>
      </c>
      <c r="AI9" s="2">
        <f>COUNTIFS(EventData!A:A,"2024",EventData!G:G,"*estonia*")</f>
        <v>2</v>
      </c>
      <c r="AJ9" s="2">
        <f>COUNTIFS(EventData!A:A,"2025",EventData!G:G,"*estonia*")</f>
        <v>1</v>
      </c>
      <c r="AK9">
        <f t="shared" si="3"/>
        <v>9</v>
      </c>
    </row>
    <row r="10" spans="1:37" x14ac:dyDescent="0.2">
      <c r="F10" s="6">
        <v>44805</v>
      </c>
      <c r="G10">
        <f>COUNTIFS(EventData!D:D,"&lt;=" &amp; EOMONTH(F10,0),EventData!E:E,"&gt;=" &amp; F10)</f>
        <v>5</v>
      </c>
      <c r="H10">
        <f>COUNTIFS(EventData!A:A,YEAR(F10),EventData!B:B,TEXT(F10,"mmmm"),EventData!C:C,"NO")</f>
        <v>0</v>
      </c>
      <c r="I10">
        <f t="shared" si="4"/>
        <v>5</v>
      </c>
      <c r="K10" t="s">
        <v>144</v>
      </c>
      <c r="L10">
        <f>COUNTIFS(EventData!A:A,"2022",EventData!H:H,"*sabotage*")+COUNTIFS(EventData!A:A,"2022",EventData!I:I,"*sabotage*")</f>
        <v>1</v>
      </c>
      <c r="M10">
        <f>COUNTIFS(EventData!A:A,"2023",EventData!H:H,"*sabotage*")+COUNTIFS(EventData!A:A,"2023",EventData!I:I,"*sabotage*")</f>
        <v>4</v>
      </c>
      <c r="N10">
        <f>COUNTIFS(EventData!A:A,"2024",EventData!H:H,"*sabotage*")+COUNTIFS(EventData!A:A,"2024",EventData!I:I,"*sabotage*")</f>
        <v>16</v>
      </c>
      <c r="O10">
        <f>COUNTIFS(EventData!A:A,"2025",EventData!H:H,"*sabotage*")+COUNTIFS(EventData!A:A,"2025",EventData!I:I,"*sabotage*")</f>
        <v>9</v>
      </c>
      <c r="P10">
        <f t="shared" si="0"/>
        <v>30</v>
      </c>
      <c r="R10" t="s">
        <v>486</v>
      </c>
      <c r="S10">
        <f>COUNTIFS(EventData!A:A,"2022",EventData!J:J,"*preparation for*")+COUNTIFS(EventData!A:A,"2022",EventData!K:K,"*preparation for*")</f>
        <v>4</v>
      </c>
      <c r="T10">
        <f>COUNTIFS(EventData!A:A,"2023",EventData!J:J,"*preparation for*")+COUNTIFS(EventData!A:A,"2023",EventData!K:K,"*preparation for*")</f>
        <v>1</v>
      </c>
      <c r="U10">
        <f>COUNTIFS(EventData!A:A,"2024",EventData!J:J,"*preparation for*")+COUNTIFS(EventData!A:A,"2024",EventData!K:K,"*preparation for*")</f>
        <v>6</v>
      </c>
      <c r="V10">
        <f>COUNTIFS(EventData!A:A,"2025",EventData!J:J,"*preparation for*")+COUNTIFS(EventData!A:A,"2025",EventData!K:K,"*preparation for*")</f>
        <v>3</v>
      </c>
      <c r="W10">
        <f t="shared" si="1"/>
        <v>14</v>
      </c>
      <c r="Y10" t="s">
        <v>320</v>
      </c>
      <c r="Z10">
        <f>COUNTIFS(EventData!A:A,"2022",EventData!L:L,"public services")+COUNTIFS(EventData!A:A,"2022",EventData!M:M,"public services")</f>
        <v>0</v>
      </c>
      <c r="AA10">
        <f>COUNTIFS(EventData!A:A,"2023",EventData!L:L,"public services")+COUNTIFS(EventData!A:A,"2023",EventData!M:M,"public services")</f>
        <v>0</v>
      </c>
      <c r="AB10">
        <f>COUNTIFS(EventData!A:A,"2024",EventData!L:L,"public services")+COUNTIFS(EventData!A:A,"2024",EventData!M:M,"public services")</f>
        <v>8</v>
      </c>
      <c r="AC10">
        <f>COUNTIFS(EventData!A:A,"2025",EventData!L:L,"public services")+COUNTIFS(EventData!A:A,"2025",EventData!M:M,"public services")</f>
        <v>2</v>
      </c>
      <c r="AD10">
        <f t="shared" si="2"/>
        <v>10</v>
      </c>
      <c r="AF10" s="5" t="s">
        <v>104</v>
      </c>
      <c r="AG10" s="2">
        <f>COUNTIFS(EventData!A:A,"2022",EventData!G:G,"*belgium*")</f>
        <v>0</v>
      </c>
      <c r="AH10" s="2">
        <f>COUNTIFS(EventData!A:A,"2023",EventData!G:G,"*belgium*")</f>
        <v>2</v>
      </c>
      <c r="AI10" s="2">
        <f>COUNTIFS(EventData!A:A,"2024",EventData!G:G,"*belgium*")</f>
        <v>1</v>
      </c>
      <c r="AJ10" s="2">
        <f>COUNTIFS(EventData!A:A,"2025",EventData!G:G,"*belgium*")</f>
        <v>6</v>
      </c>
      <c r="AK10">
        <f t="shared" si="3"/>
        <v>9</v>
      </c>
    </row>
    <row r="11" spans="1:37" x14ac:dyDescent="0.2">
      <c r="F11" s="6">
        <v>44835</v>
      </c>
      <c r="G11">
        <f>COUNTIFS(EventData!D:D,"&lt;=" &amp; EOMONTH(F11,0),EventData!E:E,"&gt;=" &amp; F11)</f>
        <v>6</v>
      </c>
      <c r="H11">
        <f>COUNTIFS(EventData!A:A,YEAR(F11),EventData!B:B,TEXT(F11,"mmmm"),EventData!C:C,"NO")</f>
        <v>0</v>
      </c>
      <c r="I11">
        <f t="shared" si="4"/>
        <v>6</v>
      </c>
      <c r="K11" t="s">
        <v>137</v>
      </c>
      <c r="L11">
        <f>COUNTIFS(EventData!A:A,"2022",EventData!H:H,"*influence*")+COUNTIFS(EventData!A:A,"2022",EventData!I:I,"*influence*")</f>
        <v>6</v>
      </c>
      <c r="M11">
        <f>COUNTIFS(EventData!A:A,"2023",EventData!H:H,"*influence*")+COUNTIFS(EventData!A:A,"2023",EventData!I:I,"*influence*")</f>
        <v>10</v>
      </c>
      <c r="N11">
        <f>COUNTIFS(EventData!A:A,"2024",EventData!H:H,"*influence*")+COUNTIFS(EventData!A:A,"2024",EventData!I:I,"*influence*")</f>
        <v>17</v>
      </c>
      <c r="O11">
        <f>COUNTIFS(EventData!A:A,"2025",EventData!H:H,"*influence*")+COUNTIFS(EventData!A:A,"2025",EventData!I:I,"*influence*")</f>
        <v>10</v>
      </c>
      <c r="P11">
        <f t="shared" si="0"/>
        <v>43</v>
      </c>
      <c r="R11" t="s">
        <v>133</v>
      </c>
      <c r="S11">
        <f>COUNTIFS(EventData!A:A,"2022",EventData!J:J,"Disrupt (military) aid to Ukraine")+COUNTIFS(EventData!A:A,"2022",EventData!K:K,"Disrupt (military) aid to Ukraine")</f>
        <v>7</v>
      </c>
      <c r="T11">
        <f>COUNTIFS(EventData!A:A,"2023",EventData!J:J,"Disrupt (military) aid to Ukraine")+COUNTIFS(EventData!A:A,"2023",EventData!K:K,"Disrupt (military) aid to Ukraine")</f>
        <v>8</v>
      </c>
      <c r="U11">
        <f>COUNTIFS(EventData!A:A,"2024",EventData!J:J,"Disrupt (military) aid to Ukraine")+COUNTIFS(EventData!A:A,"2024",EventData!K:K,"Disrupt (military) aid to Ukraine")</f>
        <v>11</v>
      </c>
      <c r="V11">
        <f>COUNTIFS(EventData!A:A,"2025",EventData!J:J,"Disrupt (military) aid to Ukraine")+COUNTIFS(EventData!A:A,"2025",EventData!K:K,"Disrupt (military) aid to Ukraine")</f>
        <v>4</v>
      </c>
      <c r="W11">
        <f t="shared" si="1"/>
        <v>30</v>
      </c>
      <c r="Y11" t="s">
        <v>150</v>
      </c>
      <c r="Z11">
        <f>COUNTIFS(EventData!A:A,"2022",EventData!L:L,"Energy / communications infrastructure")+COUNTIFS(EventData!A:A,"2022",EventData!M:M,"Energy / communications infrastructure")</f>
        <v>2</v>
      </c>
      <c r="AA11">
        <f>COUNTIFS(EventData!A:A,"2023",EventData!L:L,"Energy / communications infrastructure")+COUNTIFS(EventData!A:A,"2023",EventData!M:M,"Energy / communications infrastructure")</f>
        <v>2</v>
      </c>
      <c r="AB11">
        <f>COUNTIFS(EventData!A:A,"2024",EventData!L:L,"Energy / communications infrastructure")+COUNTIFS(EventData!A:A,"2024",EventData!M:M,"Energy / communications infrastructure")</f>
        <v>5</v>
      </c>
      <c r="AC11">
        <f>COUNTIFS(EventData!A:A,"2025",EventData!L:L,"Energy / communications infrastructure")+COUNTIFS(EventData!A:A,"2025",EventData!M:M,"Energy / communications infrastructure")</f>
        <v>5</v>
      </c>
      <c r="AD11">
        <f t="shared" si="2"/>
        <v>14</v>
      </c>
      <c r="AF11" s="5" t="s">
        <v>75</v>
      </c>
      <c r="AG11" s="2">
        <f>COUNTIFS(EventData!A:A,"2022",EventData!G:G,"*lithuania*")</f>
        <v>0</v>
      </c>
      <c r="AH11" s="2">
        <f>COUNTIFS(EventData!A:A,"2023",EventData!G:G,"*lithuania*")</f>
        <v>2</v>
      </c>
      <c r="AI11" s="2">
        <f>COUNTIFS(EventData!A:A,"2024",EventData!G:G,"*lithuania*")</f>
        <v>5</v>
      </c>
      <c r="AJ11" s="2">
        <f>COUNTIFS(EventData!A:A,"2025",EventData!G:G,"*lithuania*")</f>
        <v>2</v>
      </c>
      <c r="AK11">
        <f t="shared" si="3"/>
        <v>9</v>
      </c>
    </row>
    <row r="12" spans="1:37" x14ac:dyDescent="0.2">
      <c r="F12" s="6">
        <v>44866</v>
      </c>
      <c r="G12">
        <f>COUNTIFS(EventData!D:D,"&lt;=" &amp; EOMONTH(F12,0),EventData!E:E,"&gt;=" &amp; F12)</f>
        <v>6</v>
      </c>
      <c r="H12">
        <f>COUNTIFS(EventData!A:A,YEAR(F12),EventData!B:B,TEXT(F12,"mmmm"),EventData!C:C,"NO")</f>
        <v>0</v>
      </c>
      <c r="I12">
        <f t="shared" si="4"/>
        <v>6</v>
      </c>
      <c r="R12" t="s">
        <v>138</v>
      </c>
      <c r="S12">
        <f>COUNTIFS(EventData!A:A,"2022",EventData!J:J,"Compromise domestic / EU politics")+COUNTIFS(EventData!A:A,"2022",EventData!K:K,"Compromise domestic / EU politics")</f>
        <v>2</v>
      </c>
      <c r="T12">
        <f>COUNTIFS(EventData!A:A,"2023",EventData!J:J,"Compromise domestic / EU politics")+COUNTIFS(EventData!A:A,"2023",EventData!K:K,"Compromise domestic / EU politics")</f>
        <v>6</v>
      </c>
      <c r="U12">
        <f>COUNTIFS(EventData!A:A,"2024",EventData!J:J,"Compromise domestic / EU politics")+COUNTIFS(EventData!A:A,"2024",EventData!K:K,"Compromise domestic / EU politics")</f>
        <v>16</v>
      </c>
      <c r="V12">
        <f>COUNTIFS(EventData!A:A,"2025",EventData!J:J,"Compromise domestic / EU politics")+COUNTIFS(EventData!A:A,"2025",EventData!K:K,"Compromise domestic / EU politics")</f>
        <v>8</v>
      </c>
      <c r="W12">
        <f t="shared" si="1"/>
        <v>32</v>
      </c>
      <c r="Y12" t="s">
        <v>49</v>
      </c>
      <c r="Z12">
        <f>COUNTIFS(EventData!A:A,"2022",EventData!L:L,"Civil aviation")+COUNTIFS(EventData!A:A,"2022",EventData!M:M,"Civil aviation")</f>
        <v>1</v>
      </c>
      <c r="AA12">
        <f>COUNTIFS(EventData!A:A,"2023",EventData!L:L,"Civil aviation")+COUNTIFS(EventData!A:A,"2023",EventData!M:M,"Civil aviation")</f>
        <v>1</v>
      </c>
      <c r="AB12">
        <f>COUNTIFS(EventData!A:A,"2024",EventData!L:L,"Civil aviation")+COUNTIFS(EventData!A:A,"2024",EventData!M:M,"Civil aviation")</f>
        <v>5</v>
      </c>
      <c r="AC12">
        <f>COUNTIFS(EventData!A:A,"2025",EventData!L:L,"Civil aviation")+COUNTIFS(EventData!A:A,"2025",EventData!M:M,"Civil aviation")</f>
        <v>9</v>
      </c>
      <c r="AD12">
        <f t="shared" si="2"/>
        <v>16</v>
      </c>
      <c r="AF12" s="5" t="s">
        <v>58</v>
      </c>
      <c r="AG12">
        <f>COUNTIFS(EventData!A:A,"2022",EventData!G:G,"*spain*")</f>
        <v>1</v>
      </c>
      <c r="AH12">
        <f>COUNTIFS(EventData!A:A,"2023",EventData!G:G,"*spain*")</f>
        <v>2</v>
      </c>
      <c r="AI12">
        <f>COUNTIFS(EventData!A:A,"2024",EventData!G:G,"*spain*")</f>
        <v>4</v>
      </c>
      <c r="AJ12" s="2">
        <f>COUNTIFS(EventData!A:A,"2025",EventData!G:G,"*spain*")</f>
        <v>1</v>
      </c>
      <c r="AK12">
        <f t="shared" si="3"/>
        <v>8</v>
      </c>
    </row>
    <row r="13" spans="1:37" x14ac:dyDescent="0.2">
      <c r="F13" s="6">
        <v>44896</v>
      </c>
      <c r="G13">
        <f>COUNTIFS(EventData!D:D,"&lt;=" &amp; EOMONTH(F13,0),EventData!E:E,"&gt;=" &amp; F13)</f>
        <v>6</v>
      </c>
      <c r="H13">
        <f>COUNTIFS(EventData!A:A,YEAR(F13),EventData!B:B,TEXT(F13,"mmmm"),EventData!C:C,"NO")</f>
        <v>1</v>
      </c>
      <c r="I13">
        <f t="shared" si="4"/>
        <v>7</v>
      </c>
      <c r="K13" t="s">
        <v>145</v>
      </c>
      <c r="R13" s="18" t="s">
        <v>126</v>
      </c>
      <c r="S13">
        <f>COUNTIFS(EventData!A:A,"2022",EventData!J:J,"Disrupt daily life")+COUNTIFS(EventData!A:A,"2022",EventData!K:K,"Disrupt daily life")</f>
        <v>1</v>
      </c>
      <c r="T13">
        <f>COUNTIFS(EventData!A:A,"2023",EventData!J:J,"Disrupt daily life")+COUNTIFS(EventData!A:A,"2023",EventData!K:K,"Disrupt daily life")</f>
        <v>7</v>
      </c>
      <c r="U13">
        <f>COUNTIFS(EventData!A:A,"2024",EventData!J:J,"Disrupt daily life")+COUNTIFS(EventData!A:A,"2024",EventData!K:K,"Disrupt daily life")</f>
        <v>28</v>
      </c>
      <c r="V13">
        <f>COUNTIFS(EventData!A:A,"2025",EventData!J:J,"Disrupt daily life")+COUNTIFS(EventData!A:A,"2025",EventData!K:K,"Disrupt daily life")</f>
        <v>10</v>
      </c>
      <c r="W13">
        <f t="shared" si="1"/>
        <v>46</v>
      </c>
      <c r="Y13" t="s">
        <v>267</v>
      </c>
      <c r="Z13" s="2">
        <f>COUNTIFS(EventData!A:A,"2022",EventData!L:L,"Internet / Social media / news")+COUNTIFS(EventData!A:A,"2022",EventData!M:M,"Internet / Social media / news")</f>
        <v>1</v>
      </c>
      <c r="AA13" s="2">
        <f>COUNTIFS(EventData!A:A,"2023",EventData!L:L,"Internet / Social media / news")+COUNTIFS(EventData!A:A,"2023",EventData!M:M,"Internet / Social media / news")</f>
        <v>4</v>
      </c>
      <c r="AB13" s="2">
        <f>COUNTIFS(EventData!A:A,"2024",EventData!L:L,"Internet / Social media / news")+COUNTIFS(EventData!A:A,"2024",EventData!M:M,"Internet / Social media / news")</f>
        <v>8</v>
      </c>
      <c r="AC13" s="2">
        <f>COUNTIFS(EventData!A:A,"2025",EventData!L:L,"Internet / Social media / news")+COUNTIFS(EventData!A:A,"2025",EventData!M:M,"Internet / Social media / news")</f>
        <v>6</v>
      </c>
      <c r="AD13">
        <f t="shared" si="2"/>
        <v>19</v>
      </c>
      <c r="AF13" s="5" t="s">
        <v>30</v>
      </c>
      <c r="AG13">
        <f>COUNTIFS(EventData!A:A,"2022",EventData!G:G,"*finland*")</f>
        <v>0</v>
      </c>
      <c r="AH13">
        <f>COUNTIFS(EventData!A:A,"2023",EventData!G:G,"*finland*")</f>
        <v>2</v>
      </c>
      <c r="AI13">
        <f>COUNTIFS(EventData!A:A,"2024",EventData!G:G,"*finland*")</f>
        <v>4</v>
      </c>
      <c r="AJ13">
        <f>COUNTIFS(EventData!A:A,"2025",EventData!G:G,"*finland*")</f>
        <v>2</v>
      </c>
      <c r="AK13">
        <f t="shared" si="3"/>
        <v>8</v>
      </c>
    </row>
    <row r="14" spans="1:37" x14ac:dyDescent="0.2">
      <c r="F14" s="6">
        <v>44927</v>
      </c>
      <c r="G14">
        <f>COUNTIFS(EventData!D:D,"&lt;=" &amp; EOMONTH(F14,0),EventData!E:E,"&gt;=" &amp; F14)</f>
        <v>7</v>
      </c>
      <c r="H14">
        <f>COUNTIFS(EventData!A:A,YEAR(F14),EventData!B:B,TEXT(F14,"mmmm"),EventData!C:C,"NO")</f>
        <v>1</v>
      </c>
      <c r="I14">
        <f t="shared" si="4"/>
        <v>8</v>
      </c>
      <c r="K14" t="s">
        <v>148</v>
      </c>
      <c r="Y14" t="s">
        <v>151</v>
      </c>
      <c r="Z14">
        <f>COUNTIFS(EventData!A:A,"2022",EventData!L:L,"Military / weapons production infrastructure")+COUNTIFS(EventData!A:A,"2022",EventData!M:M,"Military / weapons production infrastructure")</f>
        <v>5</v>
      </c>
      <c r="AA14">
        <f>COUNTIFS(EventData!A:A,"2023",EventData!L:L,"Military / weapons production infrastructure")+COUNTIFS(EventData!A:A,"2023",EventData!M:M,"Military / weapons production infrastructure")</f>
        <v>2</v>
      </c>
      <c r="AB14">
        <f>COUNTIFS(EventData!A:A,"2024",EventData!L:L,"Military / weapons production infrastructure")+COUNTIFS(EventData!A:A,"2024",EventData!M:M,"Military / weapons production infrastructure")</f>
        <v>4</v>
      </c>
      <c r="AC14">
        <f>COUNTIFS(EventData!A:A,"2025",EventData!L:L,"Military / weapons production infrastructure")+COUNTIFS(EventData!A:A,"2025",EventData!M:M,"Military / weapons production infrastructure")</f>
        <v>9</v>
      </c>
      <c r="AD14">
        <f t="shared" si="2"/>
        <v>20</v>
      </c>
      <c r="AE14" s="2"/>
      <c r="AF14" s="5" t="s">
        <v>288</v>
      </c>
      <c r="AG14">
        <f>COUNTIFS(EventData!A:A,"2022",EventData!G:G,"*italy*")</f>
        <v>1</v>
      </c>
      <c r="AH14">
        <f>COUNTIFS(EventData!A:A,"2023",EventData!G:G,"*italy*")</f>
        <v>1</v>
      </c>
      <c r="AI14">
        <f>COUNTIFS(EventData!A:A,"2024",EventData!G:G,"*italy*")</f>
        <v>2</v>
      </c>
      <c r="AJ14">
        <f>COUNTIFS(EventData!A:A,"2025",EventData!G:G,"*italy*")</f>
        <v>3</v>
      </c>
      <c r="AK14">
        <f t="shared" si="3"/>
        <v>7</v>
      </c>
    </row>
    <row r="15" spans="1:37" x14ac:dyDescent="0.2">
      <c r="F15" s="6">
        <v>44958</v>
      </c>
      <c r="G15">
        <f>COUNTIFS(EventData!D:D,"&lt;=" &amp; EOMONTH(F15,0),EventData!E:E,"&gt;=" &amp; F15)</f>
        <v>7</v>
      </c>
      <c r="H15">
        <f>COUNTIFS(EventData!A:A,YEAR(F15),EventData!B:B,TEXT(F15,"mmmm"),EventData!C:C,"NO")</f>
        <v>0</v>
      </c>
      <c r="I15">
        <f t="shared" si="4"/>
        <v>7</v>
      </c>
      <c r="Y15" t="s">
        <v>351</v>
      </c>
      <c r="Z15">
        <f>COUNTIFS(EventData!A:A,"2022",EventData!L:L,"*public space*")+COUNTIFS(EventData!A:A,"2022",EventData!M:M,"*public space*")</f>
        <v>4</v>
      </c>
      <c r="AA15">
        <f>COUNTIFS(EventData!A:A,"2023",EventData!L:L,"*public space*")+COUNTIFS(EventData!A:A,"2023",EventData!M:M,"*public space*")</f>
        <v>5</v>
      </c>
      <c r="AB15">
        <f>COUNTIFS(EventData!A:A,"2024",EventData!L:L,"*public space*")+COUNTIFS(EventData!A:A,"2024",EventData!M:M,"*public space*")</f>
        <v>24</v>
      </c>
      <c r="AC15">
        <f>COUNTIFS(EventData!A:A,"2025",EventData!L:L,"*public space*")+COUNTIFS(EventData!A:A,"2025",EventData!M:M,"*public space*")</f>
        <v>6</v>
      </c>
      <c r="AD15">
        <f t="shared" si="2"/>
        <v>39</v>
      </c>
      <c r="AE15" s="2"/>
      <c r="AF15" s="5" t="s">
        <v>119</v>
      </c>
      <c r="AG15">
        <f>COUNTIFS(EventData!A:A,"2022",EventData!G:G,"*romania*")</f>
        <v>0</v>
      </c>
      <c r="AH15">
        <f>COUNTIFS(EventData!A:A,"2023",EventData!G:G,"*romania*")</f>
        <v>1</v>
      </c>
      <c r="AI15">
        <f>COUNTIFS(EventData!A:A,"2024",EventData!G:G,"*romania*")</f>
        <v>3</v>
      </c>
      <c r="AJ15" s="2">
        <f>COUNTIFS(EventData!A:A,"2025",EventData!G:G,"*romania*")</f>
        <v>3</v>
      </c>
      <c r="AK15">
        <f t="shared" si="3"/>
        <v>7</v>
      </c>
    </row>
    <row r="16" spans="1:37" x14ac:dyDescent="0.2">
      <c r="F16" s="6">
        <v>44986</v>
      </c>
      <c r="G16">
        <f>COUNTIFS(EventData!D:D,"&lt;=" &amp; EOMONTH(F16,0),EventData!E:E,"&gt;=" &amp; F16)</f>
        <v>8</v>
      </c>
      <c r="H16">
        <f>COUNTIFS(EventData!A:A,YEAR(F16),EventData!B:B,TEXT(F16,"mmmm"),EventData!C:C,"NO")</f>
        <v>1</v>
      </c>
      <c r="I16">
        <f t="shared" si="4"/>
        <v>9</v>
      </c>
      <c r="Z16" s="2"/>
      <c r="AA16" s="2"/>
      <c r="AB16" s="2"/>
      <c r="AC16" s="2"/>
      <c r="AD16" s="2"/>
      <c r="AE16" s="2"/>
      <c r="AF16" s="5" t="s">
        <v>65</v>
      </c>
      <c r="AG16">
        <f>COUNTIFS(EventData!A:A,"2022",EventData!G:G,"*czechia*")</f>
        <v>0</v>
      </c>
      <c r="AH16">
        <f>COUNTIFS(EventData!A:A,"2023",EventData!G:G,"*czechia*")</f>
        <v>1</v>
      </c>
      <c r="AI16">
        <f>COUNTIFS(EventData!A:A,"2024",EventData!G:G,"*czechia*")</f>
        <v>3</v>
      </c>
      <c r="AJ16" s="2">
        <f>COUNTIFS(EventData!A:A,"2025",EventData!G:G,"*czechia*")</f>
        <v>1</v>
      </c>
      <c r="AK16">
        <f t="shared" si="3"/>
        <v>5</v>
      </c>
    </row>
    <row r="17" spans="1:37" x14ac:dyDescent="0.2">
      <c r="F17" s="6">
        <v>45017</v>
      </c>
      <c r="G17">
        <f>COUNTIFS(EventData!D:D,"&lt;=" &amp; EOMONTH(F17,0),EventData!E:E,"&gt;=" &amp; F17)</f>
        <v>7</v>
      </c>
      <c r="H17">
        <f>COUNTIFS(EventData!A:A,YEAR(F17),EventData!B:B,TEXT(F17,"mmmm"),EventData!C:C,"NO")</f>
        <v>0</v>
      </c>
      <c r="I17">
        <f t="shared" si="4"/>
        <v>7</v>
      </c>
      <c r="Z17" s="2"/>
      <c r="AA17" s="2"/>
      <c r="AB17" s="2"/>
      <c r="AC17" s="2"/>
      <c r="AD17" s="2"/>
      <c r="AE17" s="2"/>
      <c r="AF17" s="5" t="s">
        <v>109</v>
      </c>
      <c r="AG17" s="2">
        <f>COUNTIFS(EventData!A:A,"2022",EventData!G:G,"*bulgaria*")</f>
        <v>1</v>
      </c>
      <c r="AH17" s="2">
        <f>COUNTIFS(EventData!A:A,"2023",EventData!G:G,"*bulgaria*")</f>
        <v>2</v>
      </c>
      <c r="AI17" s="2">
        <f>COUNTIFS(EventData!A:A,"2024",EventData!G:G,"*bulgaria*")</f>
        <v>1</v>
      </c>
      <c r="AJ17" s="2">
        <f>COUNTIFS(EventData!A:A,"2025",EventData!G:G,"*bulgaria*")</f>
        <v>1</v>
      </c>
      <c r="AK17">
        <f t="shared" si="3"/>
        <v>5</v>
      </c>
    </row>
    <row r="18" spans="1:37" x14ac:dyDescent="0.2">
      <c r="F18" s="6">
        <v>45047</v>
      </c>
      <c r="G18">
        <f>COUNTIFS(EventData!D:D,"&lt;=" &amp; EOMONTH(F18,0),EventData!E:E,"&gt;=" &amp; F18)</f>
        <v>6</v>
      </c>
      <c r="H18">
        <f>COUNTIFS(EventData!A:A,YEAR(F18),EventData!B:B,TEXT(F18,"mmmm"),EventData!C:C,"NO")</f>
        <v>1</v>
      </c>
      <c r="I18">
        <f t="shared" si="4"/>
        <v>7</v>
      </c>
      <c r="Z18" s="2"/>
      <c r="AA18" s="2"/>
      <c r="AB18" s="2"/>
      <c r="AC18" s="2"/>
      <c r="AD18" s="2"/>
      <c r="AE18" s="2"/>
      <c r="AF18" s="5" t="s">
        <v>68</v>
      </c>
      <c r="AG18">
        <f>COUNTIFS(EventData!A:A,"2022",EventData!G:G,"*sweden*")</f>
        <v>0</v>
      </c>
      <c r="AH18">
        <f>COUNTIFS(EventData!A:A,"2023",EventData!G:G,"*sweden*")</f>
        <v>1</v>
      </c>
      <c r="AI18">
        <f>COUNTIFS(EventData!A:A,"2024",EventData!G:G,"*sweden*")</f>
        <v>2</v>
      </c>
      <c r="AJ18" s="2">
        <f>COUNTIFS(EventData!A:A,"2025",EventData!G:G,"*sweden*")</f>
        <v>2</v>
      </c>
      <c r="AK18">
        <f t="shared" si="3"/>
        <v>5</v>
      </c>
    </row>
    <row r="19" spans="1:37" x14ac:dyDescent="0.2">
      <c r="F19" s="6">
        <v>45078</v>
      </c>
      <c r="G19">
        <f>COUNTIFS(EventData!D:D,"&lt;=" &amp; EOMONTH(F19,0),EventData!E:E,"&gt;=" &amp; F19)</f>
        <v>7</v>
      </c>
      <c r="H19">
        <f>COUNTIFS(EventData!A:A,YEAR(F19),EventData!B:B,TEXT(F19,"mmmm"),EventData!C:C,"NO")</f>
        <v>0</v>
      </c>
      <c r="I19">
        <f t="shared" si="4"/>
        <v>7</v>
      </c>
      <c r="Z19" s="2"/>
      <c r="AA19" s="2"/>
      <c r="AB19" s="2"/>
      <c r="AC19" s="2"/>
      <c r="AD19" s="2"/>
      <c r="AE19" s="2"/>
      <c r="AF19" s="5" t="s">
        <v>265</v>
      </c>
      <c r="AG19" s="2">
        <f>COUNTIFS(EventData!A:A,"2022",EventData!G:G,"*austria*")</f>
        <v>1</v>
      </c>
      <c r="AH19" s="2">
        <f>COUNTIFS(EventData!A:A,"2023",EventData!G:G,"*austria*")</f>
        <v>1</v>
      </c>
      <c r="AI19" s="2">
        <f>COUNTIFS(EventData!A:A,"2024",EventData!G:G,"*austria*")</f>
        <v>1</v>
      </c>
      <c r="AJ19" s="2">
        <f>COUNTIFS(EventData!A:A,"2025",EventData!G:G,"*austria*")</f>
        <v>1</v>
      </c>
      <c r="AK19">
        <f t="shared" si="3"/>
        <v>4</v>
      </c>
    </row>
    <row r="20" spans="1:37" x14ac:dyDescent="0.2">
      <c r="F20" s="6">
        <v>45108</v>
      </c>
      <c r="G20">
        <f>COUNTIFS(EventData!D:D,"&lt;=" &amp; EOMONTH(F20,0),EventData!E:E,"&gt;=" &amp; F20)</f>
        <v>7</v>
      </c>
      <c r="H20">
        <f>COUNTIFS(EventData!A:A,YEAR(F20),EventData!B:B,TEXT(F20,"mmmm"),EventData!C:C,"NO")</f>
        <v>1</v>
      </c>
      <c r="I20">
        <f t="shared" si="4"/>
        <v>8</v>
      </c>
      <c r="Z20" s="2"/>
      <c r="AA20" s="2"/>
      <c r="AB20" s="2"/>
      <c r="AF20" s="5" t="s">
        <v>266</v>
      </c>
      <c r="AG20">
        <f>COUNTIFS(EventData!A:A,"2022",EventData!G:G,"*switzerland*")</f>
        <v>0</v>
      </c>
      <c r="AH20">
        <f>COUNTIFS(EventData!A:A,"2023",EventData!G:G,"*switzerland*")</f>
        <v>1</v>
      </c>
      <c r="AI20">
        <f>COUNTIFS(EventData!A:A,"2024",EventData!G:G,"*switzerland*")</f>
        <v>2</v>
      </c>
      <c r="AJ20" s="2">
        <f>COUNTIFS(EventData!A:A,"2025",EventData!G:G,"*switzerland*")</f>
        <v>1</v>
      </c>
      <c r="AK20">
        <f t="shared" si="3"/>
        <v>4</v>
      </c>
    </row>
    <row r="21" spans="1:37" x14ac:dyDescent="0.2">
      <c r="F21" s="6">
        <v>45139</v>
      </c>
      <c r="G21">
        <f>COUNTIFS(EventData!D:D,"&lt;=" &amp; EOMONTH(F21,0),EventData!E:E,"&gt;=" &amp; F21)</f>
        <v>10</v>
      </c>
      <c r="H21">
        <f>COUNTIFS(EventData!A:A,YEAR(F21),EventData!B:B,TEXT(F21,"mmmm"),EventData!C:C,"NO")</f>
        <v>0</v>
      </c>
      <c r="I21">
        <f t="shared" si="4"/>
        <v>10</v>
      </c>
      <c r="AF21" s="5" t="s">
        <v>261</v>
      </c>
      <c r="AG21">
        <f>COUNTIFS(EventData!A:A,"2022",EventData!G:G,"*denmark*")</f>
        <v>0</v>
      </c>
      <c r="AH21">
        <f>COUNTIFS(EventData!A:A,"2023",EventData!G:G,"*denmark*")</f>
        <v>0</v>
      </c>
      <c r="AI21">
        <f>COUNTIFS(EventData!A:A,"2024",EventData!G:G,"*denmark*")</f>
        <v>1</v>
      </c>
      <c r="AJ21">
        <f>COUNTIFS(EventData!A:A,"2025",EventData!G:G,"*denmark*")</f>
        <v>3</v>
      </c>
      <c r="AK21">
        <f t="shared" si="3"/>
        <v>4</v>
      </c>
    </row>
    <row r="22" spans="1:37" x14ac:dyDescent="0.2">
      <c r="F22" s="6">
        <v>45170</v>
      </c>
      <c r="G22">
        <f>COUNTIFS(EventData!D:D,"&lt;=" &amp; EOMONTH(F22,0),EventData!E:E,"&gt;=" &amp; F22)</f>
        <v>11</v>
      </c>
      <c r="H22">
        <f>COUNTIFS(EventData!A:A,YEAR(F22),EventData!B:B,TEXT(F22,"mmmm"),EventData!C:C,"NO")</f>
        <v>0</v>
      </c>
      <c r="I22">
        <f t="shared" si="4"/>
        <v>11</v>
      </c>
      <c r="Z22" s="2"/>
      <c r="AA22" s="2"/>
      <c r="AB22" s="2"/>
      <c r="AF22" s="5" t="s">
        <v>116</v>
      </c>
      <c r="AG22">
        <f>COUNTIFS(EventData!A:A,"2022",EventData!G:G,"*norway*")</f>
        <v>1</v>
      </c>
      <c r="AH22">
        <f>COUNTIFS(EventData!A:A,"2023",EventData!G:G,"*norway*")</f>
        <v>0</v>
      </c>
      <c r="AI22">
        <f>COUNTIFS(EventData!A:A,"2024",EventData!G:G,"*norway*")</f>
        <v>0</v>
      </c>
      <c r="AJ22" s="2">
        <f>COUNTIFS(EventData!A:A,"2025",EventData!G:G,"*norway*")</f>
        <v>2</v>
      </c>
      <c r="AK22">
        <f t="shared" si="3"/>
        <v>3</v>
      </c>
    </row>
    <row r="23" spans="1:37" x14ac:dyDescent="0.2">
      <c r="A23" s="1"/>
      <c r="B23" s="1"/>
      <c r="F23" s="6">
        <v>45200</v>
      </c>
      <c r="G23">
        <f>COUNTIFS(EventData!D:D,"&lt;=" &amp; EOMONTH(F23,0),EventData!E:E,"&gt;=" &amp; F23)</f>
        <v>11</v>
      </c>
      <c r="H23">
        <f>COUNTIFS(EventData!A:A,YEAR(F23),EventData!B:B,TEXT(F23,"mmmm"),EventData!C:C,"NO")</f>
        <v>2</v>
      </c>
      <c r="I23">
        <f t="shared" si="4"/>
        <v>13</v>
      </c>
      <c r="Z23" s="2"/>
      <c r="AA23" s="2"/>
      <c r="AB23" s="2"/>
      <c r="AF23" s="5" t="s">
        <v>74</v>
      </c>
      <c r="AG23">
        <f>COUNTIFS(EventData!A:A,"2022",EventData!G:G,"*north sea*")</f>
        <v>1</v>
      </c>
      <c r="AH23">
        <f>COUNTIFS(EventData!A:A,"2023",EventData!G:G,"*north sea*")</f>
        <v>1</v>
      </c>
      <c r="AI23">
        <f>COUNTIFS(EventData!A:A,"2024",EventData!G:G,"*north sea*")</f>
        <v>1</v>
      </c>
      <c r="AJ23" s="2">
        <f>COUNTIFS(EventData!A:A,"2025",EventData!G:G,"*north sea*")</f>
        <v>0</v>
      </c>
      <c r="AK23">
        <f t="shared" si="3"/>
        <v>3</v>
      </c>
    </row>
    <row r="24" spans="1:37" x14ac:dyDescent="0.2">
      <c r="F24" s="6">
        <v>45231</v>
      </c>
      <c r="G24">
        <f>COUNTIFS(EventData!D:D,"&lt;=" &amp; EOMONTH(F24,0),EventData!E:E,"&gt;=" &amp; F24)</f>
        <v>11</v>
      </c>
      <c r="H24">
        <f>COUNTIFS(EventData!A:A,YEAR(F24),EventData!B:B,TEXT(F24,"mmmm"),EventData!C:C,"NO")</f>
        <v>2</v>
      </c>
      <c r="I24">
        <f t="shared" si="4"/>
        <v>13</v>
      </c>
      <c r="AF24" s="5" t="s">
        <v>536</v>
      </c>
      <c r="AG24">
        <f>COUNTIFS(EventData!A:A,"2022",EventData!G:G,"*Ireland*")</f>
        <v>1</v>
      </c>
      <c r="AH24">
        <f>COUNTIFS(EventData!A:A,"2023",EventData!G:G,"*ireland*")</f>
        <v>0</v>
      </c>
      <c r="AI24">
        <f>COUNTIFS(EventData!A:A,"2024",EventData!G:G,"*ireland*")</f>
        <v>0</v>
      </c>
      <c r="AJ24">
        <f>COUNTIFS(EventData!A:A,"2025",EventData!G:G,"*ireland*")</f>
        <v>1</v>
      </c>
      <c r="AK24">
        <f t="shared" si="3"/>
        <v>2</v>
      </c>
    </row>
    <row r="25" spans="1:37" x14ac:dyDescent="0.2">
      <c r="F25" s="6">
        <v>45261</v>
      </c>
      <c r="G25">
        <f>COUNTIFS(EventData!D:D,"&lt;=" &amp; EOMONTH(F25,0),EventData!E:E,"&gt;=" &amp; F25)</f>
        <v>11</v>
      </c>
      <c r="H25">
        <f>COUNTIFS(EventData!A:A,YEAR(F25),EventData!B:B,TEXT(F25,"mmmm"),EventData!C:C,"NO")</f>
        <v>2</v>
      </c>
      <c r="I25">
        <f t="shared" si="4"/>
        <v>13</v>
      </c>
      <c r="AF25" s="5" t="s">
        <v>239</v>
      </c>
      <c r="AG25">
        <f>COUNTIFS(EventData!A:A,"2022",EventData!G:G,"*slovakia*")</f>
        <v>0</v>
      </c>
      <c r="AH25">
        <f>COUNTIFS(EventData!A:A,"2023",EventData!G:G,"*slovakia*")</f>
        <v>0</v>
      </c>
      <c r="AI25">
        <f>COUNTIFS(EventData!A:A,"2024",EventData!G:G,"*slovakia*")</f>
        <v>1</v>
      </c>
      <c r="AJ25" s="2">
        <f>COUNTIFS(EventData!A:A,"2025",EventData!G:G,"*slovakia*")</f>
        <v>0</v>
      </c>
      <c r="AK25">
        <f t="shared" si="3"/>
        <v>1</v>
      </c>
    </row>
    <row r="26" spans="1:37" x14ac:dyDescent="0.2">
      <c r="F26" s="6">
        <v>45292</v>
      </c>
      <c r="G26">
        <f>COUNTIFS(EventData!D:D,"&lt;=" &amp; EOMONTH(F26,0),EventData!E:E,"&gt;=" &amp; F26)</f>
        <v>9</v>
      </c>
      <c r="H26">
        <f>COUNTIFS(EventData!A:A,YEAR(F26),EventData!B:B,TEXT(F26,"mmmm"),EventData!C:C,"NO")</f>
        <v>5</v>
      </c>
      <c r="I26">
        <f t="shared" si="4"/>
        <v>14</v>
      </c>
    </row>
    <row r="27" spans="1:37" x14ac:dyDescent="0.2">
      <c r="F27" s="6">
        <v>45323</v>
      </c>
      <c r="G27">
        <f>COUNTIFS(EventData!D:D,"&lt;=" &amp; EOMONTH(F27,0),EventData!E:E,"&gt;=" &amp; F27)</f>
        <v>10</v>
      </c>
      <c r="H27">
        <f>COUNTIFS(EventData!A:A,YEAR(F27),EventData!B:B,TEXT(F27,"mmmm"),EventData!C:C,"NO")</f>
        <v>2</v>
      </c>
      <c r="I27">
        <f t="shared" si="4"/>
        <v>12</v>
      </c>
    </row>
    <row r="28" spans="1:37" x14ac:dyDescent="0.2">
      <c r="F28" s="6">
        <v>45352</v>
      </c>
      <c r="G28">
        <f>COUNTIFS(EventData!D:D,"&lt;=" &amp; EOMONTH(F28,0),EventData!E:E,"&gt;=" &amp; F28)</f>
        <v>10</v>
      </c>
      <c r="H28">
        <f>COUNTIFS(EventData!A:A,YEAR(F28),EventData!B:B,TEXT(F28,"mmmm"),EventData!C:C,"NO")</f>
        <v>6</v>
      </c>
      <c r="I28">
        <f t="shared" si="4"/>
        <v>16</v>
      </c>
    </row>
    <row r="29" spans="1:37" x14ac:dyDescent="0.2">
      <c r="F29" s="6">
        <v>45383</v>
      </c>
      <c r="G29">
        <f>COUNTIFS(EventData!D:D,"&lt;=" &amp; EOMONTH(F29,0),EventData!E:E,"&gt;=" &amp; F29)</f>
        <v>9</v>
      </c>
      <c r="H29">
        <f>COUNTIFS(EventData!A:A,YEAR(F29),EventData!B:B,TEXT(F29,"mmmm"),EventData!C:C,"NO")</f>
        <v>5</v>
      </c>
      <c r="I29">
        <f t="shared" si="4"/>
        <v>14</v>
      </c>
    </row>
    <row r="30" spans="1:37" x14ac:dyDescent="0.2">
      <c r="F30" s="6">
        <v>45413</v>
      </c>
      <c r="G30">
        <f>COUNTIFS(EventData!D:D,"&lt;=" &amp; EOMONTH(F30,0),EventData!E:E,"&gt;=" &amp; F30)</f>
        <v>9</v>
      </c>
      <c r="H30">
        <f>COUNTIFS(EventData!A:A,YEAR(F30),EventData!B:B,TEXT(F30,"mmmm"),EventData!C:C,"NO")</f>
        <v>8</v>
      </c>
      <c r="I30">
        <f t="shared" si="4"/>
        <v>17</v>
      </c>
    </row>
    <row r="31" spans="1:37" x14ac:dyDescent="0.2">
      <c r="F31" s="6">
        <v>45444</v>
      </c>
      <c r="G31">
        <f>COUNTIFS(EventData!D:D,"&lt;=" &amp; EOMONTH(F31,0),EventData!E:E,"&gt;=" &amp; F31)</f>
        <v>8</v>
      </c>
      <c r="H31">
        <f>COUNTIFS(EventData!A:A,YEAR(F31),EventData!B:B,TEXT(F31,"mmmm"),EventData!C:C,"NO")</f>
        <v>6</v>
      </c>
      <c r="I31">
        <f t="shared" si="4"/>
        <v>14</v>
      </c>
    </row>
    <row r="32" spans="1:37" x14ac:dyDescent="0.2">
      <c r="F32" s="6">
        <v>45474</v>
      </c>
      <c r="G32">
        <f>COUNTIFS(EventData!D:D,"&lt;=" &amp; EOMONTH(F32,0),EventData!E:E,"&gt;=" &amp; F32)</f>
        <v>7</v>
      </c>
      <c r="H32">
        <f>COUNTIFS(EventData!A:A,YEAR(F32),EventData!B:B,TEXT(F32,"mmmm"),EventData!C:C,"NO")</f>
        <v>8</v>
      </c>
      <c r="I32">
        <f t="shared" si="4"/>
        <v>15</v>
      </c>
    </row>
    <row r="33" spans="2:9" x14ac:dyDescent="0.2">
      <c r="F33" s="6">
        <v>45505</v>
      </c>
      <c r="G33">
        <f>COUNTIFS(EventData!D:D,"&lt;=" &amp; EOMONTH(F33,0),EventData!E:E,"&gt;=" &amp; F33)</f>
        <v>7</v>
      </c>
      <c r="H33">
        <f>COUNTIFS(EventData!A:A,YEAR(F33),EventData!B:B,TEXT(F33,"mmmm"),EventData!C:C,"NO")</f>
        <v>4</v>
      </c>
      <c r="I33">
        <f t="shared" si="4"/>
        <v>11</v>
      </c>
    </row>
    <row r="34" spans="2:9" x14ac:dyDescent="0.2">
      <c r="F34" s="6">
        <v>45536</v>
      </c>
      <c r="G34">
        <f>COUNTIFS(EventData!D:D,"&lt;=" &amp; EOMONTH(F34,0),EventData!E:E,"&gt;=" &amp; F34)</f>
        <v>6</v>
      </c>
      <c r="H34">
        <f>COUNTIFS(EventData!A:A,YEAR(F34),EventData!B:B,TEXT(F34,"mmmm"),EventData!C:C,"NO")</f>
        <v>2</v>
      </c>
      <c r="I34">
        <f t="shared" si="4"/>
        <v>8</v>
      </c>
    </row>
    <row r="35" spans="2:9" x14ac:dyDescent="0.2">
      <c r="F35" s="6">
        <v>45566</v>
      </c>
      <c r="G35">
        <f>COUNTIFS(EventData!D:D,"&lt;=" &amp; EOMONTH(F35,0),EventData!E:E,"&gt;=" &amp; F35)</f>
        <v>6</v>
      </c>
      <c r="H35">
        <f>COUNTIFS(EventData!A:A,YEAR(F35),EventData!B:B,TEXT(F35,"mmmm"),EventData!C:C,"NO")</f>
        <v>1</v>
      </c>
      <c r="I35">
        <f t="shared" si="4"/>
        <v>7</v>
      </c>
    </row>
    <row r="36" spans="2:9" x14ac:dyDescent="0.2">
      <c r="F36" s="6">
        <v>45597</v>
      </c>
      <c r="G36">
        <f>COUNTIFS(EventData!D:D,"&lt;=" &amp; EOMONTH(F36,0),EventData!E:E,"&gt;=" &amp; F36)</f>
        <v>8</v>
      </c>
      <c r="H36">
        <f>COUNTIFS(EventData!A:A,YEAR(F36),EventData!B:B,TEXT(F36,"mmmm"),EventData!C:C,"NO")</f>
        <v>3</v>
      </c>
      <c r="I36">
        <f t="shared" si="4"/>
        <v>11</v>
      </c>
    </row>
    <row r="37" spans="2:9" x14ac:dyDescent="0.2">
      <c r="F37" s="6">
        <v>45627</v>
      </c>
      <c r="G37">
        <f>COUNTIFS(EventData!D:D,"&lt;=" &amp; EOMONTH(F37,0),EventData!E:E,"&gt;=" &amp; F37)</f>
        <v>8</v>
      </c>
      <c r="H37">
        <f>COUNTIFS(EventData!A:A,YEAR(F37),EventData!B:B,TEXT(F37,"mmmm"),EventData!C:C,"NO")</f>
        <v>3</v>
      </c>
      <c r="I37">
        <f t="shared" si="4"/>
        <v>11</v>
      </c>
    </row>
    <row r="38" spans="2:9" x14ac:dyDescent="0.2">
      <c r="F38" s="6">
        <v>45658</v>
      </c>
      <c r="G38">
        <f>COUNTIFS(EventData!D:D,"&lt;=" &amp; EOMONTH(F38,0),EventData!E:E,"&gt;=" &amp; F38)</f>
        <v>8</v>
      </c>
      <c r="H38">
        <f>COUNTIFS(EventData!A:A,YEAR(F38),EventData!B:B,TEXT(F38,"mmmm"),EventData!C:C,"NO")</f>
        <v>3</v>
      </c>
      <c r="I38">
        <f t="shared" si="4"/>
        <v>11</v>
      </c>
    </row>
    <row r="39" spans="2:9" x14ac:dyDescent="0.2">
      <c r="F39" s="6">
        <v>45689</v>
      </c>
      <c r="G39">
        <f>COUNTIFS(EventData!D:D,"&lt;=" &amp; EOMONTH(F39,0),EventData!E:E,"&gt;=" &amp; F39)</f>
        <v>9</v>
      </c>
      <c r="H39">
        <f>COUNTIFS(EventData!A:A,YEAR(F39),EventData!B:B,TEXT(F39,"mmmm"),EventData!C:C,"NO")</f>
        <v>0</v>
      </c>
      <c r="I39">
        <f t="shared" si="4"/>
        <v>9</v>
      </c>
    </row>
    <row r="40" spans="2:9" x14ac:dyDescent="0.2">
      <c r="F40" s="6">
        <v>45717</v>
      </c>
      <c r="G40">
        <f>COUNTIFS(EventData!D:D,"&lt;=" &amp; EOMONTH(F40,0),EventData!E:E,"&gt;=" &amp; F40)</f>
        <v>8</v>
      </c>
      <c r="H40">
        <f>COUNTIFS(EventData!A:A,YEAR(F40),EventData!B:B,TEXT(F40,"mmmm"),EventData!C:C,"NO")</f>
        <v>1</v>
      </c>
      <c r="I40">
        <f t="shared" si="4"/>
        <v>9</v>
      </c>
    </row>
    <row r="41" spans="2:9" x14ac:dyDescent="0.2">
      <c r="F41" s="6">
        <v>45748</v>
      </c>
      <c r="G41">
        <f>COUNTIFS(EventData!D:D,"&lt;=" &amp; EOMONTH(F41,0),EventData!E:E,"&gt;=" &amp; F41)</f>
        <v>7</v>
      </c>
      <c r="H41">
        <f>COUNTIFS(EventData!A:A,YEAR(F41),EventData!B:B,TEXT(F41,"mmmm"),EventData!C:C,"NO")</f>
        <v>1</v>
      </c>
      <c r="I41">
        <f t="shared" si="4"/>
        <v>8</v>
      </c>
    </row>
    <row r="42" spans="2:9" x14ac:dyDescent="0.2">
      <c r="F42" s="6">
        <v>45778</v>
      </c>
      <c r="G42">
        <f>COUNTIFS(EventData!D:D,"&lt;=" &amp; EOMONTH(F42,0),EventData!E:E,"&gt;=" &amp; F42)</f>
        <v>7</v>
      </c>
      <c r="H42">
        <f>COUNTIFS(EventData!A:A,YEAR(F42),EventData!B:B,TEXT(F42,"mmmm"),EventData!C:C,"NO")</f>
        <v>2</v>
      </c>
      <c r="I42">
        <f t="shared" si="4"/>
        <v>9</v>
      </c>
    </row>
    <row r="43" spans="2:9" x14ac:dyDescent="0.2">
      <c r="F43" s="6">
        <v>45809</v>
      </c>
      <c r="G43">
        <f>COUNTIFS(EventData!D:D,"&lt;=" &amp; EOMONTH(F43,0),EventData!E:E,"&gt;=" &amp; F43)</f>
        <v>5</v>
      </c>
      <c r="H43">
        <f>COUNTIFS(EventData!A:A,YEAR(F43),EventData!B:B,TEXT(F43,"mmmm"),EventData!C:C,"NO")</f>
        <v>1</v>
      </c>
      <c r="I43">
        <f t="shared" si="4"/>
        <v>6</v>
      </c>
    </row>
    <row r="44" spans="2:9" x14ac:dyDescent="0.2">
      <c r="F44" s="6">
        <v>45839</v>
      </c>
      <c r="G44">
        <f>COUNTIFS(EventData!D:D,"&lt;=" &amp; EOMONTH(F44,0),EventData!E:E,"&gt;=" &amp; F44)</f>
        <v>5</v>
      </c>
      <c r="H44">
        <f>COUNTIFS(EventData!A:A,YEAR(F44),EventData!B:B,TEXT(F44,"mmmm"),EventData!C:C,"NO")</f>
        <v>0</v>
      </c>
      <c r="I44">
        <f t="shared" si="4"/>
        <v>5</v>
      </c>
    </row>
    <row r="45" spans="2:9" x14ac:dyDescent="0.2">
      <c r="F45" s="6">
        <v>45870</v>
      </c>
      <c r="G45">
        <f>COUNTIFS(EventData!D:D,"&lt;=" &amp; EOMONTH(F45,0),EventData!E:E,"&gt;=" &amp; F45)</f>
        <v>5</v>
      </c>
      <c r="H45">
        <f>COUNTIFS(EventData!A:A,YEAR(F45),EventData!B:B,TEXT(F45,"mmmm"),EventData!C:C,"NO")</f>
        <v>3</v>
      </c>
      <c r="I45">
        <f t="shared" si="4"/>
        <v>8</v>
      </c>
    </row>
    <row r="46" spans="2:9" x14ac:dyDescent="0.2">
      <c r="F46" s="6">
        <v>45901</v>
      </c>
      <c r="G46">
        <f>COUNTIFS(EventData!D:D,"&lt;=" &amp; EOMONTH(F46,0),EventData!E:E,"&gt;=" &amp; F46)</f>
        <v>6</v>
      </c>
      <c r="H46">
        <f>COUNTIFS(EventData!A:A,YEAR(F46),EventData!B:B,TEXT(F46,"mmmm"),EventData!C:C,"NO")</f>
        <v>6</v>
      </c>
      <c r="I46">
        <f t="shared" si="4"/>
        <v>12</v>
      </c>
    </row>
    <row r="47" spans="2:9" x14ac:dyDescent="0.2">
      <c r="B47" s="27" t="s">
        <v>582</v>
      </c>
      <c r="F47" s="6">
        <v>45931</v>
      </c>
      <c r="G47">
        <f>COUNTIFS(EventData!D:D,"&lt;=" &amp; EOMONTH(F47,0),EventData!E:E,"&gt;=" &amp; F47)</f>
        <v>7</v>
      </c>
      <c r="H47">
        <f>COUNTIFS(EventData!A:A,YEAR(F47),EventData!B:B,TEXT(F47,"mmmm"),EventData!C:C,"NO")</f>
        <v>5</v>
      </c>
      <c r="I47">
        <f t="shared" si="4"/>
        <v>12</v>
      </c>
    </row>
    <row r="48" spans="2:9" x14ac:dyDescent="0.2">
      <c r="F48" s="6">
        <v>45962</v>
      </c>
      <c r="G48">
        <f>COUNTIFS(EventData!D:D,"&lt;=" &amp; EOMONTH(F48,0),EventData!E:E,"&gt;=" &amp; F48)</f>
        <v>7</v>
      </c>
      <c r="H48">
        <f>COUNTIFS(EventData!A:A,YEAR(F48),EventData!B:B,TEXT(F48,"mmmm"),EventData!C:C,"NO")</f>
        <v>4</v>
      </c>
      <c r="I48">
        <f t="shared" si="4"/>
        <v>11</v>
      </c>
    </row>
    <row r="49" spans="6:9" x14ac:dyDescent="0.2">
      <c r="F49" s="6">
        <v>45992</v>
      </c>
      <c r="G49">
        <f>COUNTIFS(EventData!D:D,"&lt;=" &amp; EOMONTH(F49,0),EventData!E:E,"&gt;=" &amp; F49)</f>
        <v>7</v>
      </c>
      <c r="H49">
        <f>COUNTIFS(EventData!A:A,YEAR(F49),EventData!B:B,TEXT(F49,"mmmm"),EventData!C:C,"NO")</f>
        <v>2</v>
      </c>
      <c r="I49">
        <f t="shared" si="4"/>
        <v>9</v>
      </c>
    </row>
    <row r="50" spans="6:9" x14ac:dyDescent="0.2">
      <c r="F50" s="6"/>
    </row>
    <row r="51" spans="6:9" x14ac:dyDescent="0.2">
      <c r="F51" s="27" t="s">
        <v>577</v>
      </c>
      <c r="G51" t="s">
        <v>578</v>
      </c>
    </row>
  </sheetData>
  <sortState xmlns:xlrd2="http://schemas.microsoft.com/office/spreadsheetml/2017/richdata2" ref="AF2:AK25">
    <sortCondition descending="1" ref="AK2:AK25"/>
  </sortState>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176BAB64-D8BD-2C43-961E-55A0D030586F}">
          <x14:formula1>
            <xm:f>CategoricalVariables!$B$4:$Q$4</xm:f>
          </x14:formula1>
          <xm:sqref>Y2:Y7 Y9</xm:sqref>
        </x14:dataValidation>
        <x14:dataValidation type="list" allowBlank="1" showInputMessage="1" showErrorMessage="1" xr:uid="{B8ECE128-2843-FA41-A8F3-F0DB0EAE5EE0}">
          <x14:formula1>
            <xm:f>CategoricalVariables!$B$3:$O$3</xm:f>
          </x14:formula1>
          <xm:sqref>R9:R10 R5:R7 R3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6BA76-BDA2-FF48-AC51-19BDE28A74B5}">
  <sheetPr codeName="Sheet4"/>
  <dimension ref="A1:Q28"/>
  <sheetViews>
    <sheetView workbookViewId="0">
      <selection activeCell="M3" sqref="M3"/>
    </sheetView>
  </sheetViews>
  <sheetFormatPr baseColWidth="10" defaultRowHeight="16" x14ac:dyDescent="0.2"/>
  <cols>
    <col min="1" max="1" width="22.6640625" bestFit="1" customWidth="1"/>
    <col min="2" max="2" width="34.33203125" bestFit="1" customWidth="1"/>
    <col min="3" max="3" width="36.5" bestFit="1" customWidth="1"/>
    <col min="4" max="4" width="47.83203125" bestFit="1" customWidth="1"/>
    <col min="5" max="5" width="27.6640625" bestFit="1" customWidth="1"/>
    <col min="6" max="6" width="64.1640625" bestFit="1" customWidth="1"/>
    <col min="7" max="7" width="47" bestFit="1" customWidth="1"/>
    <col min="8" max="8" width="43.1640625" bestFit="1" customWidth="1"/>
    <col min="9" max="9" width="37.33203125" bestFit="1" customWidth="1"/>
    <col min="10" max="10" width="16.83203125" bestFit="1" customWidth="1"/>
    <col min="11" max="11" width="36.33203125" bestFit="1" customWidth="1"/>
    <col min="12" max="12" width="30.5" bestFit="1" customWidth="1"/>
    <col min="13" max="13" width="29.6640625" bestFit="1" customWidth="1"/>
    <col min="14" max="14" width="39.5" bestFit="1" customWidth="1"/>
    <col min="15" max="15" width="25" bestFit="1" customWidth="1"/>
    <col min="16" max="16" width="13.1640625" bestFit="1" customWidth="1"/>
    <col min="17" max="17" width="11.6640625" bestFit="1" customWidth="1"/>
  </cols>
  <sheetData>
    <row r="1" spans="1:17" x14ac:dyDescent="0.2">
      <c r="A1" t="s">
        <v>10</v>
      </c>
      <c r="B1" t="s">
        <v>4</v>
      </c>
      <c r="C1" t="s">
        <v>5</v>
      </c>
      <c r="D1" t="s">
        <v>6</v>
      </c>
      <c r="E1" t="s">
        <v>7</v>
      </c>
      <c r="F1" t="s">
        <v>8</v>
      </c>
      <c r="G1" t="s">
        <v>9</v>
      </c>
      <c r="H1" t="s">
        <v>17</v>
      </c>
      <c r="I1" t="s">
        <v>18</v>
      </c>
      <c r="J1" t="s">
        <v>19</v>
      </c>
      <c r="K1" t="s">
        <v>20</v>
      </c>
      <c r="L1" t="s">
        <v>21</v>
      </c>
      <c r="M1" t="s">
        <v>22</v>
      </c>
      <c r="N1" t="s">
        <v>31</v>
      </c>
      <c r="O1" t="s">
        <v>32</v>
      </c>
      <c r="P1" t="s">
        <v>255</v>
      </c>
      <c r="Q1" t="s">
        <v>262</v>
      </c>
    </row>
    <row r="2" spans="1:17" x14ac:dyDescent="0.2">
      <c r="A2" t="s">
        <v>2</v>
      </c>
      <c r="B2" t="s">
        <v>61</v>
      </c>
      <c r="C2" t="s">
        <v>129</v>
      </c>
      <c r="D2" t="s">
        <v>136</v>
      </c>
      <c r="E2" t="s">
        <v>127</v>
      </c>
      <c r="F2" t="s">
        <v>3</v>
      </c>
      <c r="G2" t="s">
        <v>137</v>
      </c>
      <c r="H2" t="s">
        <v>59</v>
      </c>
      <c r="I2" t="s">
        <v>130</v>
      </c>
      <c r="J2" t="s">
        <v>131</v>
      </c>
      <c r="K2" t="s">
        <v>82</v>
      </c>
      <c r="L2" t="s">
        <v>473</v>
      </c>
      <c r="M2" t="s">
        <v>475</v>
      </c>
      <c r="N2" t="s">
        <v>487</v>
      </c>
      <c r="O2" t="s">
        <v>15</v>
      </c>
      <c r="P2" t="s">
        <v>23</v>
      </c>
    </row>
    <row r="3" spans="1:17" x14ac:dyDescent="0.2">
      <c r="A3" t="s">
        <v>125</v>
      </c>
      <c r="B3" t="s">
        <v>126</v>
      </c>
      <c r="C3" t="s">
        <v>146</v>
      </c>
      <c r="D3" t="s">
        <v>133</v>
      </c>
      <c r="E3" t="s">
        <v>134</v>
      </c>
      <c r="F3" t="s">
        <v>128</v>
      </c>
      <c r="G3" t="s">
        <v>481</v>
      </c>
      <c r="H3" t="s">
        <v>132</v>
      </c>
      <c r="I3" t="s">
        <v>135</v>
      </c>
      <c r="J3" t="s">
        <v>139</v>
      </c>
      <c r="K3" t="s">
        <v>138</v>
      </c>
      <c r="L3" t="s">
        <v>474</v>
      </c>
      <c r="M3" t="s">
        <v>486</v>
      </c>
      <c r="N3" t="s">
        <v>15</v>
      </c>
      <c r="O3" t="s">
        <v>23</v>
      </c>
    </row>
    <row r="4" spans="1:17" x14ac:dyDescent="0.2">
      <c r="A4" t="s">
        <v>26</v>
      </c>
      <c r="B4" t="s">
        <v>150</v>
      </c>
      <c r="C4" t="s">
        <v>55</v>
      </c>
      <c r="D4" t="s">
        <v>33</v>
      </c>
      <c r="E4" t="s">
        <v>45</v>
      </c>
      <c r="F4" t="s">
        <v>350</v>
      </c>
      <c r="G4" t="s">
        <v>151</v>
      </c>
      <c r="H4" t="s">
        <v>49</v>
      </c>
      <c r="I4" t="s">
        <v>342</v>
      </c>
      <c r="J4" t="s">
        <v>203</v>
      </c>
      <c r="K4" t="s">
        <v>205</v>
      </c>
      <c r="L4" t="s">
        <v>204</v>
      </c>
      <c r="M4" t="s">
        <v>69</v>
      </c>
      <c r="N4" t="s">
        <v>267</v>
      </c>
      <c r="O4" t="s">
        <v>437</v>
      </c>
      <c r="P4" t="s">
        <v>23</v>
      </c>
      <c r="Q4" t="s">
        <v>15</v>
      </c>
    </row>
    <row r="5" spans="1:17" x14ac:dyDescent="0.2">
      <c r="A5" t="s">
        <v>84</v>
      </c>
      <c r="B5" t="s">
        <v>40</v>
      </c>
      <c r="C5" t="s">
        <v>57</v>
      </c>
      <c r="D5" t="s">
        <v>63</v>
      </c>
      <c r="E5" t="s">
        <v>41</v>
      </c>
      <c r="F5" t="s">
        <v>42</v>
      </c>
      <c r="G5" t="s">
        <v>64</v>
      </c>
      <c r="H5" t="s">
        <v>46</v>
      </c>
      <c r="I5" t="s">
        <v>53</v>
      </c>
      <c r="J5" t="s">
        <v>37</v>
      </c>
      <c r="K5" t="s">
        <v>39</v>
      </c>
      <c r="L5" t="s">
        <v>38</v>
      </c>
      <c r="M5" t="s">
        <v>92</v>
      </c>
      <c r="N5" t="s">
        <v>15</v>
      </c>
      <c r="O5" t="s">
        <v>23</v>
      </c>
    </row>
    <row r="6" spans="1:17" x14ac:dyDescent="0.2">
      <c r="A6" t="s">
        <v>83</v>
      </c>
      <c r="B6">
        <v>2022</v>
      </c>
      <c r="C6">
        <v>2023</v>
      </c>
      <c r="D6">
        <v>2024</v>
      </c>
      <c r="E6">
        <v>2025</v>
      </c>
    </row>
    <row r="7" spans="1:17" x14ac:dyDescent="0.2">
      <c r="A7" t="s">
        <v>28</v>
      </c>
      <c r="B7" t="s">
        <v>24</v>
      </c>
      <c r="C7" t="s">
        <v>25</v>
      </c>
    </row>
    <row r="8" spans="1:17" x14ac:dyDescent="0.2">
      <c r="A8" t="s">
        <v>335</v>
      </c>
      <c r="B8" t="s">
        <v>24</v>
      </c>
      <c r="C8" t="s">
        <v>25</v>
      </c>
      <c r="D8" t="s">
        <v>15</v>
      </c>
    </row>
    <row r="28" spans="3:3" x14ac:dyDescent="0.2">
      <c r="C28" t="s">
        <v>383</v>
      </c>
    </row>
  </sheetData>
  <phoneticPr fontId="3"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D818E-8B2A-8C44-8B3E-A08F357A9AA9}">
  <sheetPr codeName="Sheet5"/>
  <dimension ref="A1:O88"/>
  <sheetViews>
    <sheetView topLeftCell="A67" workbookViewId="0">
      <selection activeCell="D81" sqref="D81"/>
    </sheetView>
  </sheetViews>
  <sheetFormatPr baseColWidth="10" defaultRowHeight="16" x14ac:dyDescent="0.2"/>
  <cols>
    <col min="1" max="1" width="13.33203125" bestFit="1" customWidth="1"/>
    <col min="2" max="2" width="15" bestFit="1" customWidth="1"/>
    <col min="3" max="3" width="15.83203125" bestFit="1" customWidth="1"/>
    <col min="4" max="4" width="105" customWidth="1"/>
    <col min="5" max="5" width="131.1640625" bestFit="1" customWidth="1"/>
    <col min="9" max="9" width="18.5" customWidth="1"/>
  </cols>
  <sheetData>
    <row r="1" spans="1:15" x14ac:dyDescent="0.2">
      <c r="A1" s="1" t="s">
        <v>355</v>
      </c>
      <c r="B1" s="1" t="s">
        <v>356</v>
      </c>
      <c r="C1" s="1" t="s">
        <v>357</v>
      </c>
      <c r="D1" s="1" t="s">
        <v>152</v>
      </c>
      <c r="E1" s="1" t="s">
        <v>164</v>
      </c>
    </row>
    <row r="2" spans="1:15" x14ac:dyDescent="0.2">
      <c r="A2">
        <v>2021</v>
      </c>
      <c r="B2" t="s">
        <v>23</v>
      </c>
      <c r="C2" t="s">
        <v>43</v>
      </c>
      <c r="D2" s="3" t="s">
        <v>118</v>
      </c>
    </row>
    <row r="3" spans="1:15" x14ac:dyDescent="0.2">
      <c r="A3">
        <v>2022</v>
      </c>
      <c r="B3" t="s">
        <v>40</v>
      </c>
      <c r="C3" t="s">
        <v>116</v>
      </c>
      <c r="D3" s="3" t="s">
        <v>88</v>
      </c>
      <c r="E3" t="s">
        <v>218</v>
      </c>
    </row>
    <row r="4" spans="1:15" x14ac:dyDescent="0.2">
      <c r="A4">
        <v>2022</v>
      </c>
      <c r="B4" t="s">
        <v>41</v>
      </c>
      <c r="C4" t="s">
        <v>98</v>
      </c>
      <c r="D4" s="3" t="s">
        <v>363</v>
      </c>
      <c r="E4" s="9" t="s">
        <v>364</v>
      </c>
      <c r="M4" s="3"/>
    </row>
    <row r="5" spans="1:15" x14ac:dyDescent="0.2">
      <c r="A5">
        <v>2022</v>
      </c>
      <c r="B5" t="s">
        <v>42</v>
      </c>
      <c r="C5" t="s">
        <v>379</v>
      </c>
      <c r="D5" s="3" t="s">
        <v>340</v>
      </c>
      <c r="E5" t="s">
        <v>341</v>
      </c>
    </row>
    <row r="6" spans="1:15" x14ac:dyDescent="0.2">
      <c r="A6">
        <v>2022</v>
      </c>
      <c r="B6" t="s">
        <v>37</v>
      </c>
      <c r="C6" t="s">
        <v>12</v>
      </c>
      <c r="D6" s="3" t="s">
        <v>11</v>
      </c>
      <c r="E6" s="9" t="s">
        <v>158</v>
      </c>
    </row>
    <row r="7" spans="1:15" x14ac:dyDescent="0.2">
      <c r="A7">
        <v>2022</v>
      </c>
      <c r="B7" t="s">
        <v>39</v>
      </c>
      <c r="C7" t="s">
        <v>35</v>
      </c>
      <c r="D7" s="3" t="s">
        <v>105</v>
      </c>
    </row>
    <row r="8" spans="1:15" x14ac:dyDescent="0.2">
      <c r="A8">
        <v>2022</v>
      </c>
      <c r="B8" t="s">
        <v>39</v>
      </c>
      <c r="C8" t="s">
        <v>261</v>
      </c>
      <c r="D8" s="3" t="s">
        <v>114</v>
      </c>
      <c r="E8" s="9" t="s">
        <v>362</v>
      </c>
    </row>
    <row r="9" spans="1:15" x14ac:dyDescent="0.2">
      <c r="A9">
        <v>2022</v>
      </c>
      <c r="B9" t="s">
        <v>39</v>
      </c>
      <c r="C9" t="s">
        <v>98</v>
      </c>
      <c r="D9" s="3" t="s">
        <v>365</v>
      </c>
      <c r="E9" t="s">
        <v>366</v>
      </c>
    </row>
    <row r="10" spans="1:15" x14ac:dyDescent="0.2">
      <c r="A10">
        <v>2022</v>
      </c>
      <c r="B10" t="s">
        <v>39</v>
      </c>
      <c r="C10" t="s">
        <v>48</v>
      </c>
      <c r="D10" s="3" t="s">
        <v>370</v>
      </c>
      <c r="E10" t="s">
        <v>371</v>
      </c>
      <c r="O10" s="3"/>
    </row>
    <row r="11" spans="1:15" x14ac:dyDescent="0.2">
      <c r="A11">
        <v>2022</v>
      </c>
      <c r="B11" t="s">
        <v>38</v>
      </c>
      <c r="C11" t="s">
        <v>72</v>
      </c>
      <c r="D11" s="3" t="s">
        <v>339</v>
      </c>
      <c r="E11" t="s">
        <v>338</v>
      </c>
    </row>
    <row r="12" spans="1:15" x14ac:dyDescent="0.2">
      <c r="A12">
        <v>2022</v>
      </c>
      <c r="B12" t="s">
        <v>23</v>
      </c>
      <c r="C12" t="s">
        <v>35</v>
      </c>
      <c r="D12" s="9" t="s">
        <v>231</v>
      </c>
      <c r="E12" t="s">
        <v>233</v>
      </c>
      <c r="F12" s="9" t="s">
        <v>232</v>
      </c>
    </row>
    <row r="13" spans="1:15" x14ac:dyDescent="0.2">
      <c r="A13">
        <v>2022</v>
      </c>
      <c r="B13" t="s">
        <v>15</v>
      </c>
      <c r="C13" t="s">
        <v>104</v>
      </c>
      <c r="D13" s="3" t="s">
        <v>294</v>
      </c>
      <c r="E13" t="s">
        <v>295</v>
      </c>
      <c r="G13" s="7"/>
      <c r="H13" s="4"/>
    </row>
    <row r="14" spans="1:15" x14ac:dyDescent="0.2">
      <c r="A14">
        <v>2023</v>
      </c>
      <c r="B14" t="s">
        <v>53</v>
      </c>
      <c r="C14" t="s">
        <v>43</v>
      </c>
      <c r="D14" s="3" t="s">
        <v>54</v>
      </c>
      <c r="E14" s="9" t="s">
        <v>220</v>
      </c>
      <c r="H14" s="6"/>
      <c r="I14" s="3"/>
    </row>
    <row r="15" spans="1:15" x14ac:dyDescent="0.2">
      <c r="A15">
        <v>2023</v>
      </c>
      <c r="B15" t="s">
        <v>38</v>
      </c>
      <c r="C15" t="s">
        <v>35</v>
      </c>
      <c r="D15" s="9" t="s">
        <v>235</v>
      </c>
      <c r="E15" s="9" t="s">
        <v>234</v>
      </c>
      <c r="H15" s="6"/>
      <c r="I15" s="3"/>
    </row>
    <row r="16" spans="1:15" x14ac:dyDescent="0.2">
      <c r="A16">
        <v>2023</v>
      </c>
      <c r="B16" t="s">
        <v>92</v>
      </c>
      <c r="C16" t="s">
        <v>68</v>
      </c>
      <c r="D16" s="3" t="s">
        <v>372</v>
      </c>
      <c r="I16" s="3"/>
    </row>
    <row r="17" spans="1:9" x14ac:dyDescent="0.2">
      <c r="A17">
        <v>2024</v>
      </c>
      <c r="B17" t="s">
        <v>57</v>
      </c>
      <c r="C17" t="s">
        <v>68</v>
      </c>
      <c r="D17" s="3" t="s">
        <v>373</v>
      </c>
      <c r="I17" s="3"/>
    </row>
    <row r="18" spans="1:9" x14ac:dyDescent="0.2">
      <c r="A18">
        <v>2024</v>
      </c>
      <c r="B18" t="s">
        <v>63</v>
      </c>
      <c r="C18" t="s">
        <v>48</v>
      </c>
      <c r="D18" s="3" t="s">
        <v>157</v>
      </c>
      <c r="F18" s="7"/>
    </row>
    <row r="19" spans="1:9" x14ac:dyDescent="0.2">
      <c r="A19">
        <v>2024</v>
      </c>
      <c r="B19" t="s">
        <v>63</v>
      </c>
      <c r="C19" t="s">
        <v>75</v>
      </c>
      <c r="D19" s="3" t="s">
        <v>414</v>
      </c>
      <c r="E19" s="9" t="s">
        <v>415</v>
      </c>
      <c r="F19" s="7"/>
    </row>
    <row r="20" spans="1:9" ht="18" customHeight="1" x14ac:dyDescent="0.2">
      <c r="A20">
        <v>2024</v>
      </c>
      <c r="B20" t="s">
        <v>41</v>
      </c>
      <c r="C20" t="s">
        <v>48</v>
      </c>
      <c r="D20" s="3" t="s">
        <v>358</v>
      </c>
      <c r="E20" t="s">
        <v>359</v>
      </c>
    </row>
    <row r="21" spans="1:9" x14ac:dyDescent="0.2">
      <c r="A21">
        <v>2024</v>
      </c>
      <c r="B21" t="s">
        <v>41</v>
      </c>
      <c r="C21" t="s">
        <v>76</v>
      </c>
      <c r="D21" s="3" t="s">
        <v>271</v>
      </c>
      <c r="E21" t="s">
        <v>272</v>
      </c>
    </row>
    <row r="22" spans="1:9" x14ac:dyDescent="0.2">
      <c r="A22">
        <v>2024</v>
      </c>
      <c r="B22" t="s">
        <v>42</v>
      </c>
      <c r="C22" t="s">
        <v>35</v>
      </c>
      <c r="D22" s="3" t="s">
        <v>297</v>
      </c>
      <c r="E22" s="9" t="s">
        <v>298</v>
      </c>
    </row>
    <row r="23" spans="1:9" x14ac:dyDescent="0.2">
      <c r="A23">
        <v>2024</v>
      </c>
      <c r="B23" t="s">
        <v>64</v>
      </c>
      <c r="C23" t="s">
        <v>43</v>
      </c>
      <c r="D23" s="9" t="s">
        <v>159</v>
      </c>
    </row>
    <row r="24" spans="1:9" x14ac:dyDescent="0.2">
      <c r="A24">
        <v>2024</v>
      </c>
      <c r="B24" t="s">
        <v>46</v>
      </c>
      <c r="C24" t="s">
        <v>98</v>
      </c>
      <c r="D24" s="3" t="s">
        <v>156</v>
      </c>
      <c r="E24" t="s">
        <v>368</v>
      </c>
    </row>
    <row r="25" spans="1:9" x14ac:dyDescent="0.2">
      <c r="A25">
        <v>2024</v>
      </c>
      <c r="B25" t="s">
        <v>46</v>
      </c>
      <c r="C25" t="s">
        <v>98</v>
      </c>
      <c r="D25" s="3" t="s">
        <v>367</v>
      </c>
      <c r="E25" t="s">
        <v>369</v>
      </c>
    </row>
    <row r="26" spans="1:9" x14ac:dyDescent="0.2">
      <c r="A26">
        <v>2024</v>
      </c>
      <c r="B26" t="s">
        <v>46</v>
      </c>
      <c r="C26" t="s">
        <v>378</v>
      </c>
      <c r="D26" s="3" t="s">
        <v>284</v>
      </c>
      <c r="E26" t="s">
        <v>285</v>
      </c>
    </row>
    <row r="27" spans="1:9" x14ac:dyDescent="0.2">
      <c r="A27">
        <v>2024</v>
      </c>
      <c r="B27" t="s">
        <v>37</v>
      </c>
      <c r="C27" t="s">
        <v>68</v>
      </c>
      <c r="D27" s="9" t="s">
        <v>161</v>
      </c>
    </row>
    <row r="28" spans="1:9" x14ac:dyDescent="0.2">
      <c r="A28">
        <v>2024</v>
      </c>
      <c r="B28" t="s">
        <v>37</v>
      </c>
      <c r="C28" t="s">
        <v>317</v>
      </c>
      <c r="D28" s="3" t="s">
        <v>333</v>
      </c>
      <c r="E28" t="s">
        <v>334</v>
      </c>
    </row>
    <row r="29" spans="1:9" x14ac:dyDescent="0.2">
      <c r="A29">
        <v>2024</v>
      </c>
      <c r="B29" t="s">
        <v>39</v>
      </c>
      <c r="C29" t="s">
        <v>48</v>
      </c>
      <c r="D29" s="9" t="s">
        <v>160</v>
      </c>
    </row>
    <row r="30" spans="1:9" x14ac:dyDescent="0.2">
      <c r="A30">
        <v>2024</v>
      </c>
      <c r="B30" t="s">
        <v>38</v>
      </c>
      <c r="C30" t="s">
        <v>48</v>
      </c>
      <c r="D30" s="9" t="s">
        <v>162</v>
      </c>
    </row>
    <row r="31" spans="1:9" x14ac:dyDescent="0.2">
      <c r="A31">
        <v>2024</v>
      </c>
      <c r="B31" t="s">
        <v>38</v>
      </c>
      <c r="C31" t="s">
        <v>374</v>
      </c>
      <c r="D31" s="9" t="s">
        <v>229</v>
      </c>
      <c r="E31" t="s">
        <v>230</v>
      </c>
    </row>
    <row r="32" spans="1:9" x14ac:dyDescent="0.2">
      <c r="A32">
        <v>2024</v>
      </c>
      <c r="B32" t="s">
        <v>92</v>
      </c>
      <c r="C32" t="s">
        <v>361</v>
      </c>
      <c r="D32" s="3" t="s">
        <v>154</v>
      </c>
      <c r="E32" s="9" t="s">
        <v>155</v>
      </c>
    </row>
    <row r="33" spans="1:5" x14ac:dyDescent="0.2">
      <c r="A33">
        <v>2024</v>
      </c>
      <c r="B33" t="s">
        <v>92</v>
      </c>
      <c r="C33" t="s">
        <v>12</v>
      </c>
      <c r="D33" s="9" t="s">
        <v>163</v>
      </c>
      <c r="E33" t="s">
        <v>217</v>
      </c>
    </row>
    <row r="34" spans="1:5" x14ac:dyDescent="0.2">
      <c r="A34">
        <v>2024</v>
      </c>
      <c r="B34" t="s">
        <v>92</v>
      </c>
      <c r="C34" t="s">
        <v>35</v>
      </c>
      <c r="D34" s="3" t="s">
        <v>250</v>
      </c>
      <c r="E34" t="s">
        <v>253</v>
      </c>
    </row>
    <row r="35" spans="1:5" x14ac:dyDescent="0.2">
      <c r="A35">
        <v>2024</v>
      </c>
      <c r="B35" t="s">
        <v>92</v>
      </c>
      <c r="C35" t="s">
        <v>35</v>
      </c>
      <c r="D35" s="3" t="s">
        <v>376</v>
      </c>
      <c r="E35" t="s">
        <v>254</v>
      </c>
    </row>
    <row r="36" spans="1:5" x14ac:dyDescent="0.2">
      <c r="A36">
        <v>2024</v>
      </c>
      <c r="B36" t="s">
        <v>92</v>
      </c>
      <c r="C36" t="s">
        <v>35</v>
      </c>
      <c r="D36" s="3" t="s">
        <v>249</v>
      </c>
      <c r="E36" t="s">
        <v>254</v>
      </c>
    </row>
    <row r="37" spans="1:5" x14ac:dyDescent="0.2">
      <c r="A37">
        <v>2024</v>
      </c>
      <c r="B37" t="s">
        <v>23</v>
      </c>
      <c r="C37" t="s">
        <v>375</v>
      </c>
      <c r="D37" s="3" t="s">
        <v>360</v>
      </c>
    </row>
    <row r="38" spans="1:5" x14ac:dyDescent="0.2">
      <c r="A38">
        <v>2024</v>
      </c>
      <c r="B38" t="s">
        <v>23</v>
      </c>
      <c r="C38" t="s">
        <v>48</v>
      </c>
      <c r="D38" s="9" t="s">
        <v>243</v>
      </c>
      <c r="E38" t="s">
        <v>244</v>
      </c>
    </row>
    <row r="39" spans="1:5" x14ac:dyDescent="0.2">
      <c r="A39">
        <v>2024</v>
      </c>
      <c r="B39" t="s">
        <v>15</v>
      </c>
      <c r="C39" t="s">
        <v>35</v>
      </c>
      <c r="D39" s="3" t="s">
        <v>276</v>
      </c>
      <c r="E39" t="s">
        <v>275</v>
      </c>
    </row>
    <row r="40" spans="1:5" x14ac:dyDescent="0.2">
      <c r="A40">
        <v>2024</v>
      </c>
      <c r="B40" t="s">
        <v>15</v>
      </c>
      <c r="C40" t="s">
        <v>35</v>
      </c>
      <c r="D40" s="3" t="s">
        <v>277</v>
      </c>
      <c r="E40" t="s">
        <v>275</v>
      </c>
    </row>
    <row r="41" spans="1:5" x14ac:dyDescent="0.2">
      <c r="A41">
        <v>2025</v>
      </c>
      <c r="B41" t="s">
        <v>40</v>
      </c>
      <c r="C41" t="s">
        <v>261</v>
      </c>
      <c r="D41" s="9" t="s">
        <v>245</v>
      </c>
      <c r="E41" t="s">
        <v>246</v>
      </c>
    </row>
    <row r="42" spans="1:5" x14ac:dyDescent="0.2">
      <c r="A42">
        <v>2025</v>
      </c>
      <c r="B42" t="s">
        <v>40</v>
      </c>
      <c r="C42" t="s">
        <v>35</v>
      </c>
      <c r="D42" s="3" t="s">
        <v>376</v>
      </c>
      <c r="E42" t="s">
        <v>254</v>
      </c>
    </row>
    <row r="43" spans="1:5" x14ac:dyDescent="0.2">
      <c r="A43">
        <v>2025</v>
      </c>
      <c r="B43" t="s">
        <v>40</v>
      </c>
      <c r="C43" t="s">
        <v>377</v>
      </c>
      <c r="D43" s="3" t="s">
        <v>310</v>
      </c>
      <c r="E43" s="3" t="s">
        <v>259</v>
      </c>
    </row>
    <row r="44" spans="1:5" x14ac:dyDescent="0.2">
      <c r="A44">
        <v>2025</v>
      </c>
      <c r="B44" t="s">
        <v>57</v>
      </c>
      <c r="C44" t="s">
        <v>35</v>
      </c>
      <c r="D44" s="3" t="s">
        <v>273</v>
      </c>
      <c r="E44" t="s">
        <v>274</v>
      </c>
    </row>
    <row r="45" spans="1:5" x14ac:dyDescent="0.2">
      <c r="A45">
        <v>2025</v>
      </c>
      <c r="B45" t="s">
        <v>57</v>
      </c>
      <c r="C45" t="s">
        <v>48</v>
      </c>
      <c r="D45" s="3" t="s">
        <v>280</v>
      </c>
      <c r="E45" t="s">
        <v>281</v>
      </c>
    </row>
    <row r="46" spans="1:5" x14ac:dyDescent="0.2">
      <c r="A46">
        <v>2025</v>
      </c>
      <c r="B46" t="s">
        <v>57</v>
      </c>
      <c r="C46" t="s">
        <v>75</v>
      </c>
      <c r="D46" s="3" t="s">
        <v>312</v>
      </c>
      <c r="E46" t="s">
        <v>311</v>
      </c>
    </row>
    <row r="47" spans="1:5" x14ac:dyDescent="0.2">
      <c r="A47">
        <v>2025</v>
      </c>
      <c r="B47" t="s">
        <v>63</v>
      </c>
      <c r="C47" t="s">
        <v>288</v>
      </c>
      <c r="D47" s="3" t="s">
        <v>286</v>
      </c>
      <c r="E47" t="s">
        <v>287</v>
      </c>
    </row>
    <row r="48" spans="1:5" x14ac:dyDescent="0.2">
      <c r="A48">
        <v>2025</v>
      </c>
      <c r="B48" t="s">
        <v>63</v>
      </c>
      <c r="C48" t="s">
        <v>35</v>
      </c>
      <c r="D48" s="3" t="s">
        <v>290</v>
      </c>
      <c r="E48" t="s">
        <v>291</v>
      </c>
    </row>
    <row r="49" spans="1:6" x14ac:dyDescent="0.2">
      <c r="A49">
        <v>2025</v>
      </c>
      <c r="B49" t="s">
        <v>63</v>
      </c>
      <c r="C49" t="s">
        <v>74</v>
      </c>
      <c r="D49" s="3" t="s">
        <v>301</v>
      </c>
      <c r="E49" s="9" t="s">
        <v>299</v>
      </c>
      <c r="F49" s="9" t="s">
        <v>300</v>
      </c>
    </row>
    <row r="50" spans="1:6" x14ac:dyDescent="0.2">
      <c r="A50">
        <v>2025</v>
      </c>
      <c r="B50" t="s">
        <v>63</v>
      </c>
      <c r="C50" t="s">
        <v>76</v>
      </c>
      <c r="D50" s="3" t="s">
        <v>315</v>
      </c>
    </row>
    <row r="51" spans="1:6" x14ac:dyDescent="0.2">
      <c r="A51">
        <v>2025</v>
      </c>
      <c r="B51" t="s">
        <v>63</v>
      </c>
      <c r="C51" t="s">
        <v>317</v>
      </c>
      <c r="D51" s="3" t="s">
        <v>353</v>
      </c>
      <c r="E51" t="s">
        <v>354</v>
      </c>
    </row>
    <row r="52" spans="1:6" x14ac:dyDescent="0.2">
      <c r="A52">
        <v>2025</v>
      </c>
      <c r="B52" t="s">
        <v>41</v>
      </c>
      <c r="C52" t="s">
        <v>48</v>
      </c>
      <c r="D52" s="4" t="s">
        <v>302</v>
      </c>
      <c r="E52" t="s">
        <v>303</v>
      </c>
    </row>
    <row r="53" spans="1:6" x14ac:dyDescent="0.2">
      <c r="A53">
        <v>2025</v>
      </c>
      <c r="B53" t="s">
        <v>41</v>
      </c>
      <c r="C53" t="s">
        <v>68</v>
      </c>
      <c r="D53" s="3" t="s">
        <v>343</v>
      </c>
      <c r="E53" s="9" t="s">
        <v>344</v>
      </c>
    </row>
    <row r="54" spans="1:6" x14ac:dyDescent="0.2">
      <c r="A54">
        <v>2025</v>
      </c>
      <c r="B54" t="s">
        <v>42</v>
      </c>
      <c r="C54" t="s">
        <v>98</v>
      </c>
      <c r="D54" s="3" t="s">
        <v>337</v>
      </c>
    </row>
    <row r="56" spans="1:6" x14ac:dyDescent="0.2">
      <c r="A56">
        <v>2025</v>
      </c>
      <c r="B56" t="s">
        <v>64</v>
      </c>
      <c r="C56" t="s">
        <v>35</v>
      </c>
      <c r="D56" s="3" t="s">
        <v>398</v>
      </c>
      <c r="E56" t="s">
        <v>399</v>
      </c>
      <c r="F56" s="9" t="s">
        <v>417</v>
      </c>
    </row>
    <row r="57" spans="1:6" x14ac:dyDescent="0.2">
      <c r="A57">
        <v>2025</v>
      </c>
      <c r="B57" t="s">
        <v>64</v>
      </c>
      <c r="C57" t="s">
        <v>408</v>
      </c>
      <c r="D57" s="3" t="s">
        <v>409</v>
      </c>
      <c r="E57" t="s">
        <v>410</v>
      </c>
    </row>
    <row r="58" spans="1:6" x14ac:dyDescent="0.2">
      <c r="A58">
        <v>2025</v>
      </c>
      <c r="B58" t="s">
        <v>46</v>
      </c>
      <c r="C58" t="s">
        <v>43</v>
      </c>
      <c r="D58" s="3" t="s">
        <v>411</v>
      </c>
      <c r="E58" t="s">
        <v>412</v>
      </c>
    </row>
    <row r="59" spans="1:6" x14ac:dyDescent="0.2">
      <c r="A59">
        <v>2025</v>
      </c>
      <c r="B59" t="s">
        <v>64</v>
      </c>
      <c r="C59" t="s">
        <v>35</v>
      </c>
      <c r="D59" s="3" t="s">
        <v>427</v>
      </c>
      <c r="E59" t="s">
        <v>428</v>
      </c>
    </row>
    <row r="60" spans="1:6" x14ac:dyDescent="0.2">
      <c r="A60">
        <v>2025</v>
      </c>
      <c r="B60" t="s">
        <v>53</v>
      </c>
      <c r="C60" t="s">
        <v>43</v>
      </c>
      <c r="D60" s="3" t="s">
        <v>430</v>
      </c>
      <c r="E60" t="s">
        <v>431</v>
      </c>
    </row>
    <row r="61" spans="1:6" x14ac:dyDescent="0.2">
      <c r="A61">
        <v>2025</v>
      </c>
      <c r="B61" t="s">
        <v>37</v>
      </c>
      <c r="C61" t="s">
        <v>43</v>
      </c>
      <c r="D61" s="3" t="s">
        <v>442</v>
      </c>
      <c r="E61" t="s">
        <v>443</v>
      </c>
    </row>
    <row r="62" spans="1:6" x14ac:dyDescent="0.2">
      <c r="A62">
        <v>2025</v>
      </c>
      <c r="B62" t="s">
        <v>37</v>
      </c>
      <c r="C62" t="s">
        <v>109</v>
      </c>
      <c r="D62" s="9" t="s">
        <v>446</v>
      </c>
      <c r="E62" t="s">
        <v>447</v>
      </c>
    </row>
    <row r="63" spans="1:6" x14ac:dyDescent="0.2">
      <c r="A63">
        <v>2025</v>
      </c>
      <c r="B63" t="s">
        <v>37</v>
      </c>
      <c r="C63" t="s">
        <v>48</v>
      </c>
      <c r="D63" s="3" t="s">
        <v>450</v>
      </c>
      <c r="E63" t="s">
        <v>451</v>
      </c>
    </row>
    <row r="64" spans="1:6" x14ac:dyDescent="0.2">
      <c r="A64">
        <v>2024</v>
      </c>
      <c r="B64" t="s">
        <v>42</v>
      </c>
      <c r="C64" t="s">
        <v>35</v>
      </c>
      <c r="D64" s="3" t="s">
        <v>454</v>
      </c>
    </row>
    <row r="65" spans="1:5" x14ac:dyDescent="0.2">
      <c r="A65">
        <v>2025</v>
      </c>
      <c r="B65" t="s">
        <v>37</v>
      </c>
      <c r="C65" t="s">
        <v>464</v>
      </c>
      <c r="D65" s="9" t="s">
        <v>465</v>
      </c>
      <c r="E65" t="s">
        <v>466</v>
      </c>
    </row>
    <row r="66" spans="1:5" x14ac:dyDescent="0.2">
      <c r="A66">
        <v>2025</v>
      </c>
      <c r="B66" t="s">
        <v>37</v>
      </c>
      <c r="C66" t="s">
        <v>35</v>
      </c>
      <c r="D66" s="3" t="s">
        <v>467</v>
      </c>
      <c r="E66" t="s">
        <v>468</v>
      </c>
    </row>
    <row r="67" spans="1:5" x14ac:dyDescent="0.2">
      <c r="A67">
        <v>2025</v>
      </c>
      <c r="B67" t="s">
        <v>37</v>
      </c>
      <c r="C67" t="s">
        <v>469</v>
      </c>
      <c r="D67" s="3" t="s">
        <v>470</v>
      </c>
      <c r="E67" t="s">
        <v>471</v>
      </c>
    </row>
    <row r="68" spans="1:5" x14ac:dyDescent="0.2">
      <c r="A68">
        <v>2025</v>
      </c>
      <c r="B68" t="s">
        <v>39</v>
      </c>
      <c r="C68" t="s">
        <v>35</v>
      </c>
      <c r="D68" s="3" t="s">
        <v>496</v>
      </c>
      <c r="E68" t="s">
        <v>507</v>
      </c>
    </row>
    <row r="69" spans="1:5" x14ac:dyDescent="0.2">
      <c r="A69">
        <v>2025</v>
      </c>
      <c r="B69" t="s">
        <v>38</v>
      </c>
      <c r="C69" t="s">
        <v>35</v>
      </c>
      <c r="D69" s="3" t="s">
        <v>501</v>
      </c>
      <c r="E69" t="s">
        <v>502</v>
      </c>
    </row>
    <row r="70" spans="1:5" x14ac:dyDescent="0.2">
      <c r="A70">
        <v>2025</v>
      </c>
      <c r="B70" t="s">
        <v>38</v>
      </c>
      <c r="C70" t="s">
        <v>35</v>
      </c>
      <c r="D70" s="3" t="s">
        <v>503</v>
      </c>
      <c r="E70" t="s">
        <v>504</v>
      </c>
    </row>
    <row r="71" spans="1:5" x14ac:dyDescent="0.2">
      <c r="A71">
        <v>2025</v>
      </c>
      <c r="B71" t="s">
        <v>39</v>
      </c>
      <c r="C71" t="s">
        <v>58</v>
      </c>
      <c r="D71" s="3" t="s">
        <v>505</v>
      </c>
      <c r="E71" t="s">
        <v>506</v>
      </c>
    </row>
    <row r="72" spans="1:5" x14ac:dyDescent="0.2">
      <c r="A72">
        <v>2025</v>
      </c>
      <c r="B72" t="s">
        <v>37</v>
      </c>
      <c r="C72" t="s">
        <v>116</v>
      </c>
      <c r="D72" s="3" t="s">
        <v>514</v>
      </c>
      <c r="E72" s="9" t="s">
        <v>515</v>
      </c>
    </row>
    <row r="73" spans="1:5" x14ac:dyDescent="0.2">
      <c r="A73">
        <v>2025</v>
      </c>
      <c r="B73" t="s">
        <v>39</v>
      </c>
      <c r="C73" t="s">
        <v>43</v>
      </c>
      <c r="D73" s="3" t="s">
        <v>517</v>
      </c>
      <c r="E73" s="9" t="s">
        <v>518</v>
      </c>
    </row>
    <row r="74" spans="1:5" x14ac:dyDescent="0.2">
      <c r="A74">
        <v>2025</v>
      </c>
      <c r="B74" t="s">
        <v>37</v>
      </c>
      <c r="C74" t="s">
        <v>261</v>
      </c>
      <c r="D74" s="3" t="s">
        <v>520</v>
      </c>
      <c r="E74" s="9" t="s">
        <v>521</v>
      </c>
    </row>
    <row r="75" spans="1:5" x14ac:dyDescent="0.2">
      <c r="A75">
        <v>2025</v>
      </c>
      <c r="B75" t="s">
        <v>38</v>
      </c>
      <c r="C75" t="s">
        <v>104</v>
      </c>
      <c r="D75" s="3" t="s">
        <v>524</v>
      </c>
      <c r="E75" s="9"/>
    </row>
    <row r="76" spans="1:5" x14ac:dyDescent="0.2">
      <c r="A76">
        <v>2025</v>
      </c>
      <c r="B76" t="s">
        <v>42</v>
      </c>
      <c r="C76" t="s">
        <v>48</v>
      </c>
      <c r="D76" s="3" t="s">
        <v>525</v>
      </c>
      <c r="E76" s="9"/>
    </row>
    <row r="77" spans="1:5" x14ac:dyDescent="0.2">
      <c r="A77">
        <v>2025</v>
      </c>
      <c r="B77" t="s">
        <v>39</v>
      </c>
      <c r="C77" t="s">
        <v>76</v>
      </c>
      <c r="D77" s="9" t="s">
        <v>535</v>
      </c>
      <c r="E77" s="9"/>
    </row>
    <row r="78" spans="1:5" x14ac:dyDescent="0.2">
      <c r="A78">
        <v>2025</v>
      </c>
      <c r="B78" t="s">
        <v>38</v>
      </c>
      <c r="C78" t="s">
        <v>540</v>
      </c>
      <c r="D78" s="3" t="s">
        <v>541</v>
      </c>
      <c r="E78" s="9" t="s">
        <v>542</v>
      </c>
    </row>
    <row r="79" spans="1:5" x14ac:dyDescent="0.2">
      <c r="A79">
        <v>2025</v>
      </c>
      <c r="B79" t="s">
        <v>37</v>
      </c>
      <c r="C79" t="s">
        <v>261</v>
      </c>
      <c r="D79" s="3" t="s">
        <v>513</v>
      </c>
      <c r="E79" s="9" t="s">
        <v>516</v>
      </c>
    </row>
    <row r="80" spans="1:5" x14ac:dyDescent="0.2">
      <c r="A80">
        <v>2025</v>
      </c>
      <c r="B80" t="s">
        <v>92</v>
      </c>
      <c r="C80" t="s">
        <v>35</v>
      </c>
      <c r="D80" s="3" t="s">
        <v>552</v>
      </c>
      <c r="E80" s="9" t="s">
        <v>428</v>
      </c>
    </row>
    <row r="81" spans="1:5" x14ac:dyDescent="0.2">
      <c r="A81">
        <v>2025</v>
      </c>
      <c r="B81" t="s">
        <v>38</v>
      </c>
      <c r="C81" t="s">
        <v>261</v>
      </c>
      <c r="D81" s="3" t="s">
        <v>556</v>
      </c>
      <c r="E81" s="9" t="s">
        <v>557</v>
      </c>
    </row>
    <row r="82" spans="1:5" x14ac:dyDescent="0.2">
      <c r="D82" s="3"/>
      <c r="E82" s="9"/>
    </row>
    <row r="83" spans="1:5" x14ac:dyDescent="0.2">
      <c r="D83" s="3"/>
      <c r="E83" s="9"/>
    </row>
    <row r="84" spans="1:5" x14ac:dyDescent="0.2">
      <c r="D84" s="3"/>
      <c r="E84" s="9"/>
    </row>
    <row r="85" spans="1:5" x14ac:dyDescent="0.2">
      <c r="D85" s="3"/>
      <c r="E85" s="9"/>
    </row>
    <row r="86" spans="1:5" x14ac:dyDescent="0.2">
      <c r="D86" s="3"/>
      <c r="E86" s="9"/>
    </row>
    <row r="87" spans="1:5" x14ac:dyDescent="0.2">
      <c r="D87" s="3"/>
    </row>
    <row r="88" spans="1:5" x14ac:dyDescent="0.2">
      <c r="D88" s="1" t="s">
        <v>153</v>
      </c>
    </row>
  </sheetData>
  <sortState xmlns:xlrd2="http://schemas.microsoft.com/office/spreadsheetml/2017/richdata2" ref="A2:F55">
    <sortCondition ref="A2:A55"/>
    <sortCondition ref="B2:B55" customList="January,February,March,April,May,June,July,August,September,October,November,December"/>
  </sortState>
  <hyperlinks>
    <hyperlink ref="D30" r:id="rId1" xr:uid="{994FC969-EB3F-3E42-8D7B-39DA1DFA810F}"/>
    <hyperlink ref="D27" r:id="rId2" xr:uid="{6B2A0D1A-294B-1E40-80D4-BD6220ECCA86}"/>
    <hyperlink ref="D29" r:id="rId3" display="Fire at BAE systems nuclear shipyard, 30 October 2024 - Rule industrial accident" xr:uid="{6B4588C2-9EAE-9D4C-AEB1-050A603E8F46}"/>
    <hyperlink ref="D23" r:id="rId4" xr:uid="{6F5CFF3A-6121-7B42-851E-31F68DC8BF1B}"/>
    <hyperlink ref="E6" r:id="rId5" xr:uid="{6579ACE2-1C92-F948-B57D-EE87E22A6C8D}"/>
    <hyperlink ref="D10" r:id="rId6" xr:uid="{3FD538A7-957B-4C40-ABB2-459A23CBAF27}"/>
    <hyperlink ref="D24" r:id="rId7" display="Railway sabotage in France ahead of 2024 Olympics" xr:uid="{A50AC813-A9DA-D043-862E-701DB0228DA7}"/>
    <hyperlink ref="E32" r:id="rId8" xr:uid="{158D4437-DC46-5A41-9457-ECE157E30D65}"/>
    <hyperlink ref="D6" r:id="rId9" xr:uid="{7AB021F9-49E8-324C-9EA7-797C2F83AF91}"/>
    <hyperlink ref="D18" r:id="rId10" display="British defense minister plane GPS jammed over Poland" xr:uid="{329B03DE-C4C0-9441-B72D-AA0625760CFF}"/>
    <hyperlink ref="D17" r:id="rId11" display="Swedish derailments 2023/2024" xr:uid="{D26B0E1B-3FA5-4142-8C78-43FCC1F115BC}"/>
    <hyperlink ref="D2" r:id="rId12" xr:uid="{4CB0C1A3-92AE-7840-8A7B-FC131A10707F}"/>
    <hyperlink ref="D9" r:id="rId13" xr:uid="{2D1855D0-BCAD-4F4C-A65D-972946BDAECC}"/>
    <hyperlink ref="D8" r:id="rId14" xr:uid="{FE85CABB-364F-784A-9FC9-9E629B348866}"/>
    <hyperlink ref="D32" r:id="rId15" display="Niet alles is sabotage! Moelijk vast te stellenb" xr:uid="{34F6E3FA-AC86-014A-9794-DEC06D0B99C1}"/>
    <hyperlink ref="D37" r:id="rId16" display="Thousand of cyber attacks against government websites, transportation infrastructure etc not recorded." xr:uid="{7FB07D65-18D3-BA49-BD85-4ADC59FB4E7F}"/>
    <hyperlink ref="D20" r:id="rId17" xr:uid="{9417B98E-34D4-6D47-B96A-178DA822809F}"/>
    <hyperlink ref="D7" r:id="rId18" xr:uid="{F3CD8C34-6E27-2946-891B-B95420C8C8FD}"/>
    <hyperlink ref="D33" r:id="rId19" xr:uid="{A05E97EC-EB08-EE47-AE69-49777C64CBD0}"/>
    <hyperlink ref="E14" r:id="rId20" xr:uid="{7621D5D9-E103-2C40-BEDC-BE59B240EA45}"/>
    <hyperlink ref="D31" r:id="rId21" xr:uid="{D75A79FC-1CC6-614F-A37F-8BF543977492}"/>
    <hyperlink ref="D12" r:id="rId22" xr:uid="{4A852C4B-91DF-9D47-8129-613F401DDBC6}"/>
    <hyperlink ref="F12" r:id="rId23" xr:uid="{17D33F10-C46D-844B-9883-84D9C07D787C}"/>
    <hyperlink ref="D15" r:id="rId24" display="Jan 2024 Brunsbüttel LNG pipeline sabotage" xr:uid="{B34B4CBD-320F-0542-98B8-2EE7A53EA0F6}"/>
    <hyperlink ref="E15" r:id="rId25" xr:uid="{8376AE25-A7ED-7B44-A343-72097F988B25}"/>
    <hyperlink ref="D38" r:id="rId26" xr:uid="{65AF5CF6-EC36-244F-B4D0-346E4144A3E7}"/>
    <hyperlink ref="D41" r:id="rId27" xr:uid="{CA97A1D9-B777-624B-82D9-4B4EC48B8D1F}"/>
    <hyperlink ref="D34" r:id="rId28" xr:uid="{7C282E6B-CD45-8E40-ACEF-3E66827C8867}"/>
    <hyperlink ref="D42" r:id="rId29" display="Drone spotted above Manching airbase, Bavaria" xr:uid="{C856F448-87B7-7545-9AA1-19F451B2C693}"/>
    <hyperlink ref="E43" r:id="rId30" display="February 25: authorities rule out sabotage" xr:uid="{34403CB6-F387-AA44-A855-9962CDFE14B8}"/>
    <hyperlink ref="D43" r:id="rId31" display="January 26, 2025 LVRTC cable between Sweden and Latvia damaaged" xr:uid="{1A76D6BB-F8CA-614C-89F4-F7BBCB40925F}"/>
    <hyperlink ref="D21" r:id="rId32" xr:uid="{7CF35249-F0CD-8A40-8EDF-2BF11E9CF010}"/>
    <hyperlink ref="D44" r:id="rId33" xr:uid="{8640174A-6EC6-5D42-A352-AEAC8EA1A8C0}"/>
    <hyperlink ref="D40" r:id="rId34" xr:uid="{08F9E074-EE37-A84D-A7F5-707898DB995C}"/>
    <hyperlink ref="D39" r:id="rId35" xr:uid="{452BBB09-7A07-9449-8A97-C6922D912E74}"/>
    <hyperlink ref="D45" r:id="rId36" xr:uid="{4A5A37C5-7A65-864C-A618-4EEB3B125715}"/>
    <hyperlink ref="D26" r:id="rId37" xr:uid="{54B7E8CE-8C00-BB45-95FA-309018318498}"/>
    <hyperlink ref="D47" r:id="rId38" xr:uid="{92D0E3D8-166C-7647-B1CD-B3B69A3643C2}"/>
    <hyperlink ref="D48" r:id="rId39" xr:uid="{BB3438A9-EB09-ED42-B7C8-1A4F31862296}"/>
    <hyperlink ref="D13" r:id="rId40" xr:uid="{BF6A1E49-996F-C741-91B6-148C65FE9673}"/>
    <hyperlink ref="D22" r:id="rId41" xr:uid="{FA6F2F34-BE7C-7947-B580-5C3762667A6E}"/>
    <hyperlink ref="E22" r:id="rId42" xr:uid="{40C2B02D-15F6-EF46-B9BF-BD68391F1936}"/>
    <hyperlink ref="E49" r:id="rId43" xr:uid="{96C2D7B5-B1BD-F84A-A166-93556B9D83F9}"/>
    <hyperlink ref="D49" r:id="rId44" display="March 2024: Oil tanker Stena Immaculate carrying jet fuel hit by container ship Solong off British coast, master is Russian national" xr:uid="{456C0CC4-D2ED-5C44-AF0F-D6C68C44E029}"/>
    <hyperlink ref="F49" r:id="rId45" xr:uid="{D981CD18-DBF2-CA45-8C93-1085FEC5AB5D}"/>
    <hyperlink ref="D52" r:id="rId46" xr:uid="{30B25F51-92E4-4846-AE1F-BB8AE34E6180}"/>
    <hyperlink ref="D46" r:id="rId47" display="Petition to Ban Russian Train Transit in lithuania possibliy a influence operation " xr:uid="{3B931776-CEFB-8B4A-8190-D82E0A5BB9C4}"/>
    <hyperlink ref="D50" r:id="rId48" xr:uid="{7EE94F53-5F13-8F49-A7FE-42D6D8FD5198}"/>
    <hyperlink ref="D28" r:id="rId49" xr:uid="{5A5FFBAB-C371-3341-BCC0-0CFF59EDFC6B}"/>
    <hyperlink ref="D54" r:id="rId50" xr:uid="{E799BAF6-CEDB-BA4D-92B9-E6ED82423BBF}"/>
    <hyperlink ref="D11" r:id="rId51" xr:uid="{581B026C-3585-2847-9E4D-F451F5B4330B}"/>
    <hyperlink ref="D5" r:id="rId52" xr:uid="{80444700-AAF5-BD42-A0DB-1850DE2AE78B}"/>
    <hyperlink ref="D53" r:id="rId53" xr:uid="{DAA9EEA3-58CC-F043-8064-342832E1059C}"/>
    <hyperlink ref="E53" r:id="rId54" xr:uid="{07B9DCBB-59A2-E143-83C6-BF501FE953D7}"/>
    <hyperlink ref="D51" r:id="rId55" xr:uid="{40EABDD8-A208-C54B-A554-9539C137FE83}"/>
    <hyperlink ref="D3" r:id="rId56" xr:uid="{566A5226-8EFA-0645-A567-AD5BDFD78E14}"/>
    <hyperlink ref="E8" r:id="rId57" location=":~:text=Bornholm%2C%20Denmark%20–%2010%20October%202022,it%20on%20a%20local%20fault." xr:uid="{C0A73329-5577-D04F-91B8-A57E78AC1788}"/>
    <hyperlink ref="D14" r:id="rId58" xr:uid="{C87F8A46-F20D-994B-91EC-3201B289489F}"/>
    <hyperlink ref="D4" r:id="rId59" xr:uid="{D52AA750-86EF-434C-8D6D-2E9B8A3E8CB8}"/>
    <hyperlink ref="D25" r:id="rId60" xr:uid="{AD6B53D0-6500-214C-A5EE-56574321BFA7}"/>
    <hyperlink ref="D16" r:id="rId61" xr:uid="{C5A70E40-0A0E-EB4E-962E-533831687291}"/>
    <hyperlink ref="D35" r:id="rId62" display="Drone spotted above Manching airbase, Bavaria" xr:uid="{257D9D0E-535F-9045-B52A-92D83ECBC4C6}"/>
    <hyperlink ref="D36" r:id="rId63" xr:uid="{902AAEB2-439D-5E48-BAAA-40937780EAB6}"/>
    <hyperlink ref="D56" r:id="rId64" xr:uid="{20BCCAAE-4C93-D94C-B901-B33F12CBA4C8}"/>
    <hyperlink ref="D58" r:id="rId65" xr:uid="{CF61A284-2E30-4743-8100-EADC8A2D3DEA}"/>
    <hyperlink ref="D57" r:id="rId66" xr:uid="{02D5FF34-DB66-ED4E-B719-A42B8BA91CFD}"/>
    <hyperlink ref="D19" r:id="rId67" display="Assassination attempt on Leonid Volkov" xr:uid="{176833CE-EEFF-8449-89B0-A1B7344D1A86}"/>
    <hyperlink ref="E19" r:id="rId68" xr:uid="{EF7BE729-461E-D64B-B2EE-849B1C76BF96}"/>
    <hyperlink ref="F56" r:id="rId69" xr:uid="{6128920D-E2C2-8D4A-BB29-873B5AF7210C}"/>
    <hyperlink ref="D60" r:id="rId70" xr:uid="{942906AC-65AA-D246-85D7-792101CAFFF6}"/>
    <hyperlink ref="D61" r:id="rId71" xr:uid="{EEC94820-7D91-BC45-824D-CFA1AF8B2F6C}"/>
    <hyperlink ref="D62" r:id="rId72" xr:uid="{1516CC3C-0F5A-3440-8153-95EF642A2FE7}"/>
    <hyperlink ref="D63" r:id="rId73" xr:uid="{9F991466-9FB8-3A44-ABAA-5175AE021963}"/>
    <hyperlink ref="D64" r:id="rId74" xr:uid="{BBDB7DD6-2ED2-1146-8BBA-8F0C22A47982}"/>
    <hyperlink ref="D65" r:id="rId75" xr:uid="{D1223827-3A9B-F540-9B2A-0701204590B1}"/>
    <hyperlink ref="D68" r:id="rId76" xr:uid="{19D9B47B-27C9-404E-9D1B-DB056E2BB9F2}"/>
    <hyperlink ref="D69" r:id="rId77" xr:uid="{9F3B261D-FE28-2D4F-A2DB-D66B3E223735}"/>
    <hyperlink ref="D70" r:id="rId78" xr:uid="{4914C6F7-92D2-554D-9A70-FDEEF6E542AE}"/>
    <hyperlink ref="D71" r:id="rId79" xr:uid="{19A38B38-AD5B-D14C-B1F0-08857E7FE35C}"/>
    <hyperlink ref="E72" r:id="rId80" xr:uid="{332864CF-7AC7-E34B-B89C-4CD8C9397A64}"/>
    <hyperlink ref="D72" r:id="rId81" display="Drones spotted near Copenhagen and Oslo airport lead to shut downs, Monday 22 September - 23 September" xr:uid="{97CC3472-F8E5-4542-B595-921611D0C308}"/>
    <hyperlink ref="D79" r:id="rId82" display="Drones spotted near Copenhagen and Oslo airport lead to shut downs, Monday 22 September - 23 September" xr:uid="{A87FC23E-6608-CE42-B8AD-8F3B9266C9FF}"/>
    <hyperlink ref="E79" r:id="rId83" xr:uid="{EF017E05-EFF5-324B-8B68-5C4067AECF98}"/>
    <hyperlink ref="D73" r:id="rId84" display="Drones buzz Dutch soldiers on excercise in Poland. Included as fitting pattern of Russia-linked drone sighting" xr:uid="{8A228391-9FAE-0945-BE49-4C99F971A9D4}"/>
    <hyperlink ref="E73" r:id="rId85" xr:uid="{F7344A00-8712-3146-A696-4F84958E207A}"/>
    <hyperlink ref="D74" r:id="rId86" xr:uid="{286C9359-8116-5F4B-8AD4-91961473D9D9}"/>
    <hyperlink ref="D75" r:id="rId87" xr:uid="{362563B4-DAC8-C243-9A75-634AE9A06D64}"/>
    <hyperlink ref="D76" r:id="rId88" display="May 2025 fires at homes linked to British PM Keir Starmer. Being investigated for potential link to Russia," xr:uid="{351CDD8B-DE18-EA4E-B3CD-EF05A2D1085C}"/>
    <hyperlink ref="D77" r:id="rId89" display="Czech republic reports on 10 October increasing number of drones flying over military facilities." xr:uid="{CA3C6E25-70AC-3649-8E79-074C1E982EF7}"/>
    <hyperlink ref="E78" r:id="rId90" xr:uid="{20AB23FC-7201-8648-AA0D-C39EE736520A}"/>
    <hyperlink ref="D78" r:id="rId91" xr:uid="{D2A965F1-56C6-5841-9F26-B4D9F1450AF4}"/>
    <hyperlink ref="D80" r:id="rId92" xr:uid="{DEBEE693-9882-FE49-A545-E75761789AE9}"/>
    <hyperlink ref="D81" r:id="rId93" xr:uid="{DEE1F6DD-0C54-754C-84B6-51287FDD4625}"/>
  </hyperlinks>
  <pageMargins left="0.7" right="0.7" top="0.75" bottom="0.75" header="0.3" footer="0.3"/>
  <extLst>
    <ext xmlns:x14="http://schemas.microsoft.com/office/spreadsheetml/2009/9/main" uri="{CCE6A557-97BC-4b89-ADB6-D9C93CAAB3DF}">
      <x14:dataValidations xmlns:xm="http://schemas.microsoft.com/office/excel/2006/main" count="7">
        <x14:dataValidation type="list" allowBlank="1" showInputMessage="1" showErrorMessage="1" xr:uid="{4DC0B0B6-0E2F-9D47-874D-F00B85F08242}">
          <x14:formula1>
            <xm:f>CategoricalVariables!$B$7:$C$7</xm:f>
          </x14:formula1>
          <xm:sqref>R13:R17 F16:F17</xm:sqref>
        </x14:dataValidation>
        <x14:dataValidation type="list" allowBlank="1" showInputMessage="1" showErrorMessage="1" xr:uid="{E29354CA-D9D4-2742-BB20-F16B24215D5D}">
          <x14:formula1>
            <xm:f>CategoricalVariables!#REF!</xm:f>
          </x14:formula1>
          <xm:sqref>K13:K17</xm:sqref>
        </x14:dataValidation>
        <x14:dataValidation type="list" allowBlank="1" showInputMessage="1" showErrorMessage="1" xr:uid="{2A23CB00-67CF-0B4F-9179-46709044144C}">
          <x14:formula1>
            <xm:f>CategoricalVariables!$B$6:$O$6</xm:f>
          </x14:formula1>
          <xm:sqref>A2:A12 A14:A54 A56:A64 A88:A1048576 A66:A86</xm:sqref>
        </x14:dataValidation>
        <x14:dataValidation type="list" allowBlank="1" showInputMessage="1" showErrorMessage="1" xr:uid="{75774D5D-18C7-9447-81F3-5C68C2C3C34B}">
          <x14:formula1>
            <xm:f>CategoricalVariables!$B$4:$Q$4</xm:f>
          </x14:formula1>
          <xm:sqref>P13:Q17</xm:sqref>
        </x14:dataValidation>
        <x14:dataValidation type="list" allowBlank="1" showInputMessage="1" showErrorMessage="1" xr:uid="{858CCF44-4BB7-714D-8FD3-0A4C9811BE8C}">
          <x14:formula1>
            <xm:f>CategoricalVariables!$B$5:$O$5</xm:f>
          </x14:formula1>
          <xm:sqref>B2:B54 B56:B64 B88:B1048576 B66:B86</xm:sqref>
        </x14:dataValidation>
        <x14:dataValidation type="list" allowBlank="1" showInputMessage="1" showErrorMessage="1" xr:uid="{87243D8C-7A14-D649-B4E9-E4A5A7D8498E}">
          <x14:formula1>
            <xm:f>CategoricalVariables!$B$2:$P$2</xm:f>
          </x14:formula1>
          <xm:sqref>L13:M17</xm:sqref>
        </x14:dataValidation>
        <x14:dataValidation type="list" allowBlank="1" showInputMessage="1" showErrorMessage="1" xr:uid="{7D9BA4C0-A023-0A45-869B-FB31E44FDA8A}">
          <x14:formula1>
            <xm:f>CategoricalVariables!$B$3:$O$3</xm:f>
          </x14:formula1>
          <xm:sqref>N13:O17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09B5D-B00F-BD42-935E-076CBEF9A33D}">
  <sheetPr codeName="Sheet6"/>
  <dimension ref="A1:M9"/>
  <sheetViews>
    <sheetView workbookViewId="0">
      <selection activeCell="B2" sqref="B2"/>
    </sheetView>
  </sheetViews>
  <sheetFormatPr baseColWidth="10" defaultRowHeight="16" x14ac:dyDescent="0.2"/>
  <cols>
    <col min="1" max="1" width="33.83203125" bestFit="1" customWidth="1"/>
    <col min="2" max="2" width="93.6640625" customWidth="1"/>
  </cols>
  <sheetData>
    <row r="1" spans="1:13" ht="146" customHeight="1" x14ac:dyDescent="0.2">
      <c r="A1" s="21" t="s">
        <v>527</v>
      </c>
      <c r="B1" s="20" t="s">
        <v>539</v>
      </c>
      <c r="C1" s="19"/>
      <c r="D1" s="19"/>
      <c r="E1" s="19"/>
      <c r="F1" s="19"/>
      <c r="G1" s="19"/>
      <c r="H1" s="19"/>
      <c r="I1" s="19"/>
      <c r="J1" s="19"/>
      <c r="K1" s="19"/>
      <c r="L1" s="19"/>
      <c r="M1" s="19"/>
    </row>
    <row r="3" spans="1:13" x14ac:dyDescent="0.2">
      <c r="B3" s="1" t="s">
        <v>528</v>
      </c>
    </row>
    <row r="4" spans="1:13" x14ac:dyDescent="0.2">
      <c r="A4" t="s">
        <v>104</v>
      </c>
      <c r="B4" t="s">
        <v>526</v>
      </c>
    </row>
    <row r="5" spans="1:13" x14ac:dyDescent="0.2">
      <c r="A5" t="s">
        <v>261</v>
      </c>
      <c r="B5" t="s">
        <v>529</v>
      </c>
    </row>
    <row r="6" spans="1:13" x14ac:dyDescent="0.2">
      <c r="A6" t="s">
        <v>530</v>
      </c>
      <c r="B6" t="s">
        <v>531</v>
      </c>
    </row>
    <row r="7" spans="1:13" x14ac:dyDescent="0.2">
      <c r="A7" t="s">
        <v>35</v>
      </c>
      <c r="B7" t="s">
        <v>533</v>
      </c>
    </row>
    <row r="8" spans="1:13" x14ac:dyDescent="0.2">
      <c r="B8" t="s">
        <v>534</v>
      </c>
    </row>
    <row r="9" spans="1:13" x14ac:dyDescent="0.2">
      <c r="A9" t="s">
        <v>536</v>
      </c>
      <c r="B9" t="s">
        <v>537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B7F98-E39F-D943-A7FB-60DCD5CA7D05}">
  <sheetPr codeName="Sheet7"/>
  <dimension ref="A1:O20"/>
  <sheetViews>
    <sheetView workbookViewId="0">
      <selection activeCell="A20" sqref="A20"/>
    </sheetView>
  </sheetViews>
  <sheetFormatPr baseColWidth="10" defaultRowHeight="16" x14ac:dyDescent="0.2"/>
  <sheetData>
    <row r="1" spans="1:15" x14ac:dyDescent="0.2">
      <c r="A1" s="7">
        <v>45725</v>
      </c>
    </row>
    <row r="2" spans="1:15" x14ac:dyDescent="0.2">
      <c r="A2">
        <v>2024</v>
      </c>
      <c r="B2" t="s">
        <v>53</v>
      </c>
      <c r="C2" t="s">
        <v>24</v>
      </c>
      <c r="D2" s="6">
        <v>45505</v>
      </c>
      <c r="E2" t="s">
        <v>15</v>
      </c>
      <c r="F2" s="3" t="s">
        <v>251</v>
      </c>
      <c r="G2" t="s">
        <v>35</v>
      </c>
      <c r="H2" t="s">
        <v>129</v>
      </c>
      <c r="I2" t="s">
        <v>23</v>
      </c>
      <c r="J2" t="s">
        <v>132</v>
      </c>
      <c r="K2" t="s">
        <v>128</v>
      </c>
      <c r="L2" t="s">
        <v>151</v>
      </c>
      <c r="M2" t="s">
        <v>150</v>
      </c>
      <c r="N2" t="s">
        <v>25</v>
      </c>
      <c r="O2" s="9" t="s">
        <v>252</v>
      </c>
    </row>
    <row r="4" spans="1:15" x14ac:dyDescent="0.2">
      <c r="A4" s="7">
        <v>45758</v>
      </c>
    </row>
    <row r="5" spans="1:15" x14ac:dyDescent="0.2">
      <c r="A5" t="s">
        <v>263</v>
      </c>
    </row>
    <row r="7" spans="1:15" x14ac:dyDescent="0.2">
      <c r="A7" s="7">
        <v>45819</v>
      </c>
    </row>
    <row r="8" spans="1:15" x14ac:dyDescent="0.2">
      <c r="A8" t="s">
        <v>336</v>
      </c>
    </row>
    <row r="10" spans="1:15" x14ac:dyDescent="0.2">
      <c r="A10" s="7">
        <v>45824</v>
      </c>
    </row>
    <row r="11" spans="1:15" x14ac:dyDescent="0.2">
      <c r="A11" t="s">
        <v>380</v>
      </c>
    </row>
    <row r="13" spans="1:15" x14ac:dyDescent="0.2">
      <c r="A13" s="7">
        <v>45854</v>
      </c>
    </row>
    <row r="14" spans="1:15" x14ac:dyDescent="0.2">
      <c r="A14" t="s">
        <v>416</v>
      </c>
    </row>
    <row r="16" spans="1:15" x14ac:dyDescent="0.2">
      <c r="A16" s="7">
        <v>45856</v>
      </c>
    </row>
    <row r="17" spans="1:1" x14ac:dyDescent="0.2">
      <c r="A17" t="s">
        <v>418</v>
      </c>
    </row>
    <row r="19" spans="1:1" x14ac:dyDescent="0.2">
      <c r="A19" s="7">
        <v>45924</v>
      </c>
    </row>
    <row r="20" spans="1:1" x14ac:dyDescent="0.2">
      <c r="A20" s="9" t="s">
        <v>453</v>
      </c>
    </row>
  </sheetData>
  <hyperlinks>
    <hyperlink ref="F2" r:id="rId1" display="Drone overflights of industrial &amp; military sites in Germany, suspected sabotage prep" xr:uid="{98FA91BA-F220-7D4E-A510-A194D09BF162}"/>
    <hyperlink ref="O2" r:id="rId2" xr:uid="{A80B9D27-CA3A-A74A-93FB-9A9374B91278}"/>
    <hyperlink ref="A20" r:id="rId3" xr:uid="{AE86E3A9-F328-2040-BAE1-3EEE883BA44A}"/>
  </hyperlinks>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140A14D5-9C76-E04B-BE52-BB3667D4E91D}">
          <x14:formula1>
            <xm:f>CategoricalVariables!$B$5:$O$5</xm:f>
          </x14:formula1>
          <xm:sqref>B2</xm:sqref>
        </x14:dataValidation>
        <x14:dataValidation type="list" allowBlank="1" showInputMessage="1" showErrorMessage="1" xr:uid="{491E33F0-6FBA-5542-A680-C645CA4B086B}">
          <x14:formula1>
            <xm:f>CategoricalVariables!$B$6:$E$6</xm:f>
          </x14:formula1>
          <xm:sqref>A2</xm:sqref>
        </x14:dataValidation>
        <x14:dataValidation type="list" allowBlank="1" showInputMessage="1" showErrorMessage="1" xr:uid="{4DC0B0B6-0E2F-9D47-874D-F00B85F08242}">
          <x14:formula1>
            <xm:f>CategoricalVariables!$B$7:$C$7</xm:f>
          </x14:formula1>
          <xm:sqref>C2 N2</xm:sqref>
        </x14:dataValidation>
        <x14:dataValidation type="list" allowBlank="1" showInputMessage="1" showErrorMessage="1" xr:uid="{75774D5D-18C7-9447-81F3-5C68C2C3C34B}">
          <x14:formula1>
            <xm:f>CategoricalVariables!$B$4:$Q$4</xm:f>
          </x14:formula1>
          <xm:sqref>L2:M2</xm:sqref>
        </x14:dataValidation>
        <x14:dataValidation type="list" allowBlank="1" showInputMessage="1" showErrorMessage="1" xr:uid="{87243D8C-7A14-D649-B4E9-E4A5A7D8498E}">
          <x14:formula1>
            <xm:f>CategoricalVariables!$B$2:$P$2</xm:f>
          </x14:formula1>
          <xm:sqref>H2:I2</xm:sqref>
        </x14:dataValidation>
        <x14:dataValidation type="list" allowBlank="1" showInputMessage="1" showErrorMessage="1" xr:uid="{7D9BA4C0-A023-0A45-869B-FB31E44FDA8A}">
          <x14:formula1>
            <xm:f>CategoricalVariables!$B$3:$O$3</xm:f>
          </x14:formula1>
          <xm:sqref>J2:K2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ReadMe</vt:lpstr>
      <vt:lpstr>EventData</vt:lpstr>
      <vt:lpstr>Visualization</vt:lpstr>
      <vt:lpstr>CategoricalVariables</vt:lpstr>
      <vt:lpstr>Excluded</vt:lpstr>
      <vt:lpstr>DroneSightingsQ4_2025</vt:lpstr>
      <vt:lpstr>ChangeLog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Bart Schuurman</dc:creator>
  <cp:lastModifiedBy>Bart Schuurman</cp:lastModifiedBy>
  <dcterms:created xsi:type="dcterms:W3CDTF">2024-11-11T18:20:30Z</dcterms:created>
  <dcterms:modified xsi:type="dcterms:W3CDTF">2026-01-12T14:51:46Z</dcterms:modified>
</cp:coreProperties>
</file>